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wer bi projets\"/>
    </mc:Choice>
  </mc:AlternateContent>
  <xr:revisionPtr revIDLastSave="0" documentId="13_ncr:1_{CDAA46A5-49F3-48BA-BC3C-43967B3FDE84}" xr6:coauthVersionLast="47" xr6:coauthVersionMax="47" xr10:uidLastSave="{00000000-0000-0000-0000-000000000000}"/>
  <bookViews>
    <workbookView xWindow="-108" yWindow="-108" windowWidth="23256" windowHeight="12456" activeTab="1" xr2:uid="{6AE6FDF0-2297-433C-A8E3-D9F9CD80E361}"/>
  </bookViews>
  <sheets>
    <sheet name="Paramètres" sheetId="2" r:id="rId1"/>
    <sheet name="Créance" sheetId="1" r:id="rId2"/>
    <sheet name="Réglement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I13" i="1" s="1"/>
  <c r="K13" i="1" s="1"/>
  <c r="L13" i="1" s="1"/>
  <c r="J13" i="1"/>
  <c r="H23" i="1"/>
  <c r="I23" i="1" s="1"/>
  <c r="J23" i="1"/>
  <c r="H24" i="1"/>
  <c r="I24" i="1" s="1"/>
  <c r="J24" i="1"/>
  <c r="H25" i="1"/>
  <c r="I25" i="1" s="1"/>
  <c r="J25" i="1"/>
  <c r="H26" i="1"/>
  <c r="I26" i="1" s="1"/>
  <c r="K26" i="1" s="1"/>
  <c r="L26" i="1" s="1"/>
  <c r="J26" i="1"/>
  <c r="H27" i="1"/>
  <c r="I27" i="1" s="1"/>
  <c r="J27" i="1"/>
  <c r="H28" i="1"/>
  <c r="I28" i="1" s="1"/>
  <c r="J28" i="1"/>
  <c r="H14" i="1"/>
  <c r="I14" i="1" s="1"/>
  <c r="J14" i="1"/>
  <c r="H15" i="1"/>
  <c r="I15" i="1" s="1"/>
  <c r="J15" i="1"/>
  <c r="H16" i="1"/>
  <c r="I16" i="1" s="1"/>
  <c r="J16" i="1"/>
  <c r="H17" i="1"/>
  <c r="I17" i="1" s="1"/>
  <c r="J17" i="1"/>
  <c r="H18" i="1"/>
  <c r="I18" i="1" s="1"/>
  <c r="J18" i="1"/>
  <c r="H19" i="1"/>
  <c r="I19" i="1" s="1"/>
  <c r="J19" i="1"/>
  <c r="H20" i="1"/>
  <c r="I20" i="1" s="1"/>
  <c r="J20" i="1"/>
  <c r="H21" i="1"/>
  <c r="I21" i="1" s="1"/>
  <c r="J21" i="1"/>
  <c r="H22" i="1"/>
  <c r="I22" i="1" s="1"/>
  <c r="J22" i="1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4" i="2"/>
  <c r="E35" i="2"/>
  <c r="E36" i="2"/>
  <c r="E37" i="2"/>
  <c r="H29" i="1"/>
  <c r="I29" i="1" s="1"/>
  <c r="J29" i="1"/>
  <c r="H30" i="1"/>
  <c r="I30" i="1" s="1"/>
  <c r="J30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H32" i="1"/>
  <c r="I32" i="1" s="1"/>
  <c r="H33" i="1"/>
  <c r="I33" i="1" s="1"/>
  <c r="K33" i="1" s="1"/>
  <c r="L33" i="1" s="1"/>
  <c r="H34" i="1"/>
  <c r="I34" i="1" s="1"/>
  <c r="K34" i="1" s="1"/>
  <c r="L34" i="1" s="1"/>
  <c r="H35" i="1"/>
  <c r="I35" i="1" s="1"/>
  <c r="K35" i="1" s="1"/>
  <c r="L35" i="1" s="1"/>
  <c r="H36" i="1"/>
  <c r="I36" i="1" s="1"/>
  <c r="K36" i="1" s="1"/>
  <c r="H37" i="1"/>
  <c r="I37" i="1" s="1"/>
  <c r="H38" i="1"/>
  <c r="I38" i="1" s="1"/>
  <c r="K38" i="1" s="1"/>
  <c r="L38" i="1" s="1"/>
  <c r="H39" i="1"/>
  <c r="I39" i="1" s="1"/>
  <c r="H40" i="1"/>
  <c r="I40" i="1" s="1"/>
  <c r="K40" i="1" s="1"/>
  <c r="H41" i="1"/>
  <c r="I41" i="1" s="1"/>
  <c r="K41" i="1" s="1"/>
  <c r="L41" i="1" s="1"/>
  <c r="H42" i="1"/>
  <c r="I42" i="1" s="1"/>
  <c r="K42" i="1" s="1"/>
  <c r="L42" i="1" s="1"/>
  <c r="H43" i="1"/>
  <c r="I43" i="1" s="1"/>
  <c r="K43" i="1" s="1"/>
  <c r="L43" i="1" s="1"/>
  <c r="H44" i="1"/>
  <c r="I44" i="1" s="1"/>
  <c r="K44" i="1" s="1"/>
  <c r="H45" i="1"/>
  <c r="I45" i="1" s="1"/>
  <c r="H46" i="1"/>
  <c r="I46" i="1" s="1"/>
  <c r="H47" i="1"/>
  <c r="I47" i="1" s="1"/>
  <c r="H48" i="1"/>
  <c r="I48" i="1" s="1"/>
  <c r="K48" i="1" s="1"/>
  <c r="H49" i="1"/>
  <c r="I49" i="1" s="1"/>
  <c r="K49" i="1" s="1"/>
  <c r="L49" i="1" s="1"/>
  <c r="H50" i="1"/>
  <c r="I50" i="1" s="1"/>
  <c r="K50" i="1" s="1"/>
  <c r="L50" i="1" s="1"/>
  <c r="H51" i="1"/>
  <c r="I51" i="1" s="1"/>
  <c r="K51" i="1" s="1"/>
  <c r="L51" i="1" s="1"/>
  <c r="H52" i="1"/>
  <c r="I52" i="1" s="1"/>
  <c r="K52" i="1" s="1"/>
  <c r="H53" i="1"/>
  <c r="I53" i="1" s="1"/>
  <c r="H54" i="1"/>
  <c r="I54" i="1" s="1"/>
  <c r="K54" i="1" s="1"/>
  <c r="L54" i="1" s="1"/>
  <c r="H55" i="1"/>
  <c r="I55" i="1" s="1"/>
  <c r="H56" i="1"/>
  <c r="I56" i="1" s="1"/>
  <c r="K56" i="1" s="1"/>
  <c r="H57" i="1"/>
  <c r="I57" i="1" s="1"/>
  <c r="K57" i="1" s="1"/>
  <c r="L57" i="1" s="1"/>
  <c r="H58" i="1"/>
  <c r="I58" i="1" s="1"/>
  <c r="K58" i="1" s="1"/>
  <c r="L58" i="1" s="1"/>
  <c r="H59" i="1"/>
  <c r="I59" i="1" s="1"/>
  <c r="K59" i="1" s="1"/>
  <c r="L59" i="1" s="1"/>
  <c r="H60" i="1"/>
  <c r="I60" i="1" s="1"/>
  <c r="K60" i="1" s="1"/>
  <c r="H61" i="1"/>
  <c r="I61" i="1" s="1"/>
  <c r="H62" i="1"/>
  <c r="I62" i="1" s="1"/>
  <c r="H63" i="1"/>
  <c r="I63" i="1" s="1"/>
  <c r="H64" i="1"/>
  <c r="I64" i="1" s="1"/>
  <c r="K64" i="1" s="1"/>
  <c r="H65" i="1"/>
  <c r="I65" i="1" s="1"/>
  <c r="K65" i="1" s="1"/>
  <c r="L65" i="1" s="1"/>
  <c r="H66" i="1"/>
  <c r="I66" i="1" s="1"/>
  <c r="K66" i="1" s="1"/>
  <c r="L66" i="1" s="1"/>
  <c r="I67" i="1"/>
  <c r="K67" i="1" s="1"/>
  <c r="L67" i="1" s="1"/>
  <c r="I68" i="1"/>
  <c r="K68" i="1" s="1"/>
  <c r="H69" i="1"/>
  <c r="I69" i="1" s="1"/>
  <c r="H70" i="1"/>
  <c r="I70" i="1" s="1"/>
  <c r="K70" i="1" s="1"/>
  <c r="H71" i="1"/>
  <c r="I71" i="1" s="1"/>
  <c r="H72" i="1"/>
  <c r="I72" i="1" s="1"/>
  <c r="K72" i="1" s="1"/>
  <c r="H73" i="1"/>
  <c r="I73" i="1" s="1"/>
  <c r="K73" i="1" s="1"/>
  <c r="L73" i="1" s="1"/>
  <c r="H74" i="1"/>
  <c r="I74" i="1" s="1"/>
  <c r="K74" i="1" s="1"/>
  <c r="L74" i="1" s="1"/>
  <c r="I75" i="1"/>
  <c r="K75" i="1" s="1"/>
  <c r="L75" i="1" s="1"/>
  <c r="H76" i="1"/>
  <c r="I76" i="1" s="1"/>
  <c r="K76" i="1" s="1"/>
  <c r="H77" i="1"/>
  <c r="I77" i="1" s="1"/>
  <c r="H78" i="1"/>
  <c r="I78" i="1" s="1"/>
  <c r="H79" i="1"/>
  <c r="I79" i="1" s="1"/>
  <c r="I80" i="1"/>
  <c r="K80" i="1" s="1"/>
  <c r="H81" i="1"/>
  <c r="I81" i="1" s="1"/>
  <c r="K81" i="1" s="1"/>
  <c r="L81" i="1" s="1"/>
  <c r="H82" i="1"/>
  <c r="I82" i="1" s="1"/>
  <c r="K82" i="1" s="1"/>
  <c r="L82" i="1" s="1"/>
  <c r="H83" i="1"/>
  <c r="I83" i="1" s="1"/>
  <c r="K83" i="1" s="1"/>
  <c r="L83" i="1" s="1"/>
  <c r="H84" i="1"/>
  <c r="I84" i="1" s="1"/>
  <c r="K84" i="1" s="1"/>
  <c r="H85" i="1"/>
  <c r="I85" i="1" s="1"/>
  <c r="H86" i="1"/>
  <c r="I86" i="1" s="1"/>
  <c r="K86" i="1" s="1"/>
  <c r="L86" i="1" s="1"/>
  <c r="H87" i="1"/>
  <c r="I87" i="1" s="1"/>
  <c r="H88" i="1"/>
  <c r="I88" i="1" s="1"/>
  <c r="K88" i="1" s="1"/>
  <c r="H89" i="1"/>
  <c r="I89" i="1" s="1"/>
  <c r="K89" i="1" s="1"/>
  <c r="L89" i="1" s="1"/>
  <c r="H90" i="1"/>
  <c r="I90" i="1" s="1"/>
  <c r="K90" i="1" s="1"/>
  <c r="L90" i="1" s="1"/>
  <c r="H91" i="1"/>
  <c r="I91" i="1" s="1"/>
  <c r="K91" i="1" s="1"/>
  <c r="L91" i="1" s="1"/>
  <c r="H92" i="1"/>
  <c r="I92" i="1" s="1"/>
  <c r="K92" i="1" s="1"/>
  <c r="H93" i="1"/>
  <c r="I93" i="1" s="1"/>
  <c r="H94" i="1"/>
  <c r="I94" i="1" s="1"/>
  <c r="K94" i="1" s="1"/>
  <c r="L94" i="1" s="1"/>
  <c r="H95" i="1"/>
  <c r="I95" i="1" s="1"/>
  <c r="H96" i="1"/>
  <c r="I96" i="1" s="1"/>
  <c r="K96" i="1" s="1"/>
  <c r="L96" i="1" s="1"/>
  <c r="H97" i="1"/>
  <c r="I97" i="1" s="1"/>
  <c r="K97" i="1" s="1"/>
  <c r="L97" i="1" s="1"/>
  <c r="H98" i="1"/>
  <c r="I98" i="1" s="1"/>
  <c r="K98" i="1" s="1"/>
  <c r="L98" i="1" s="1"/>
  <c r="H99" i="1"/>
  <c r="I99" i="1" s="1"/>
  <c r="K99" i="1" s="1"/>
  <c r="L99" i="1" s="1"/>
  <c r="F75" i="3"/>
  <c r="F76" i="3"/>
  <c r="F77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40" i="3"/>
  <c r="F41" i="3"/>
  <c r="F42" i="3"/>
  <c r="F43" i="3"/>
  <c r="F44" i="3"/>
  <c r="F39" i="3"/>
  <c r="K28" i="1" l="1"/>
  <c r="L28" i="1" s="1"/>
  <c r="K25" i="1"/>
  <c r="L25" i="1" s="1"/>
  <c r="K23" i="1"/>
  <c r="L23" i="1" s="1"/>
  <c r="K24" i="1"/>
  <c r="L24" i="1" s="1"/>
  <c r="K27" i="1"/>
  <c r="L27" i="1" s="1"/>
  <c r="K14" i="1"/>
  <c r="L14" i="1" s="1"/>
  <c r="K17" i="1"/>
  <c r="L17" i="1" s="1"/>
  <c r="K15" i="1"/>
  <c r="L15" i="1" s="1"/>
  <c r="K16" i="1"/>
  <c r="L16" i="1" s="1"/>
  <c r="K18" i="1"/>
  <c r="L18" i="1" s="1"/>
  <c r="K19" i="1"/>
  <c r="L19" i="1" s="1"/>
  <c r="K20" i="1"/>
  <c r="L20" i="1" s="1"/>
  <c r="K21" i="1"/>
  <c r="L21" i="1" s="1"/>
  <c r="K22" i="1"/>
  <c r="L22" i="1" s="1"/>
  <c r="K29" i="1"/>
  <c r="K30" i="1"/>
  <c r="K85" i="1"/>
  <c r="L85" i="1" s="1"/>
  <c r="K77" i="1"/>
  <c r="L77" i="1" s="1"/>
  <c r="K61" i="1"/>
  <c r="L61" i="1" s="1"/>
  <c r="K45" i="1"/>
  <c r="L45" i="1" s="1"/>
  <c r="K37" i="1"/>
  <c r="L37" i="1" s="1"/>
  <c r="K93" i="1"/>
  <c r="L93" i="1" s="1"/>
  <c r="K69" i="1"/>
  <c r="L69" i="1" s="1"/>
  <c r="K53" i="1"/>
  <c r="L53" i="1" s="1"/>
  <c r="K95" i="1"/>
  <c r="L95" i="1" s="1"/>
  <c r="K87" i="1"/>
  <c r="L87" i="1" s="1"/>
  <c r="K79" i="1"/>
  <c r="L79" i="1" s="1"/>
  <c r="K71" i="1"/>
  <c r="L71" i="1" s="1"/>
  <c r="K63" i="1"/>
  <c r="L63" i="1" s="1"/>
  <c r="K55" i="1"/>
  <c r="L55" i="1" s="1"/>
  <c r="K47" i="1"/>
  <c r="L47" i="1" s="1"/>
  <c r="K39" i="1"/>
  <c r="L39" i="1" s="1"/>
  <c r="K78" i="1"/>
  <c r="K62" i="1"/>
  <c r="L62" i="1" s="1"/>
  <c r="K46" i="1"/>
  <c r="K32" i="1"/>
  <c r="L88" i="1"/>
  <c r="L72" i="1"/>
  <c r="L56" i="1"/>
  <c r="L40" i="1"/>
  <c r="L70" i="1"/>
  <c r="L92" i="1"/>
  <c r="L84" i="1"/>
  <c r="L80" i="1"/>
  <c r="L76" i="1"/>
  <c r="L68" i="1"/>
  <c r="L64" i="1"/>
  <c r="L60" i="1"/>
  <c r="L52" i="1"/>
  <c r="L48" i="1"/>
  <c r="L44" i="1"/>
  <c r="L36" i="1"/>
  <c r="L29" i="1" l="1"/>
  <c r="L30" i="1"/>
  <c r="L46" i="1"/>
  <c r="L78" i="1"/>
  <c r="L32" i="1"/>
  <c r="H31" i="1" l="1"/>
  <c r="D10" i="3"/>
  <c r="D9" i="3"/>
  <c r="J31" i="1"/>
  <c r="I31" i="1" l="1"/>
  <c r="K31" i="1" l="1"/>
  <c r="L31" i="1" s="1"/>
  <c r="I102" i="1"/>
  <c r="D11" i="3"/>
</calcChain>
</file>

<file path=xl/sharedStrings.xml><?xml version="1.0" encoding="utf-8"?>
<sst xmlns="http://schemas.openxmlformats.org/spreadsheetml/2006/main" count="539" uniqueCount="223">
  <si>
    <t>Veuillez saisir les les informations de chaque créance</t>
  </si>
  <si>
    <r>
      <t xml:space="preserve">Nouvelle </t>
    </r>
    <r>
      <rPr>
        <b/>
        <sz val="15"/>
        <color rgb="FF0070C0"/>
        <rFont val="Bati"/>
      </rPr>
      <t>créance</t>
    </r>
  </si>
  <si>
    <t>N° de facture</t>
  </si>
  <si>
    <t>Date d'émission</t>
  </si>
  <si>
    <t>Délai</t>
  </si>
  <si>
    <t>Montant Facturé</t>
  </si>
  <si>
    <t>Client</t>
  </si>
  <si>
    <r>
      <t xml:space="preserve">Liste de </t>
    </r>
    <r>
      <rPr>
        <b/>
        <sz val="15"/>
        <color rgb="FF0070C0"/>
        <rFont val="Bati"/>
      </rPr>
      <t>créances</t>
    </r>
  </si>
  <si>
    <t>Délai de règlement</t>
  </si>
  <si>
    <t>Montant facturé</t>
  </si>
  <si>
    <t>Montant encaissé</t>
  </si>
  <si>
    <t>Solde</t>
  </si>
  <si>
    <t>Échéance</t>
  </si>
  <si>
    <t>Retard</t>
  </si>
  <si>
    <t>Statut</t>
  </si>
  <si>
    <t>Remarque sur client</t>
  </si>
  <si>
    <t>NOM</t>
  </si>
  <si>
    <t>ADRESSE</t>
  </si>
  <si>
    <t>TELEPHONE</t>
  </si>
  <si>
    <t xml:space="preserve">Mathieu Bernard </t>
  </si>
  <si>
    <t>12, villa Compoint 75017 Paris</t>
  </si>
  <si>
    <t>01 53 06 30 43</t>
  </si>
  <si>
    <t>Emmanuel Edgardo</t>
  </si>
  <si>
    <t>10, rue Cambacérès 75008 Paris</t>
  </si>
  <si>
    <t>01 42 66 68 49</t>
  </si>
  <si>
    <t>Gracia Cestin</t>
  </si>
  <si>
    <t>BP 65054 31033 Toulouse</t>
  </si>
  <si>
    <t>01 58 22 17 10</t>
  </si>
  <si>
    <t>Louinord Joseph</t>
  </si>
  <si>
    <t>3-5 av. Esquirol 69003 Lyon</t>
  </si>
  <si>
    <t>04 72 11 29 99</t>
  </si>
  <si>
    <t>Pauline Lamothe</t>
  </si>
  <si>
    <t>14, av. Duquesne 75350 Paris</t>
  </si>
  <si>
    <t>01 56 53 51 05</t>
  </si>
  <si>
    <t>Olivier Jean-Louis</t>
  </si>
  <si>
    <t>88 av. Verdier 92120 Montrouge</t>
  </si>
  <si>
    <t>01 41 17 67 18</t>
  </si>
  <si>
    <t>Eddy Luckecy</t>
  </si>
  <si>
    <t>47 rue des Alliés 430 St Etienne</t>
  </si>
  <si>
    <t>04 77 49 42 42</t>
  </si>
  <si>
    <t>Guillaum Thimothe</t>
  </si>
  <si>
    <t>4, av. Duquesne 75350 Paris</t>
  </si>
  <si>
    <t>01 49 23 82 52</t>
  </si>
  <si>
    <t>Anne Marie Marquant</t>
  </si>
  <si>
    <t>290 route de Vienne 69355 Lyon</t>
  </si>
  <si>
    <t>04 37 90 13 07</t>
  </si>
  <si>
    <t>Fedline Joseph</t>
  </si>
  <si>
    <t>47 rue des Alliés 2030 St Etienne</t>
  </si>
  <si>
    <t>Roland Dely</t>
  </si>
  <si>
    <t xml:space="preserve">41, rue Desaix 75012 Paris </t>
  </si>
  <si>
    <t>04 77 81 15 15</t>
  </si>
  <si>
    <t>Senophat Benjamin</t>
  </si>
  <si>
    <t>Magalie Harold</t>
  </si>
  <si>
    <t>Laurianne Fleur</t>
  </si>
  <si>
    <t>Dieuper Boudam</t>
  </si>
  <si>
    <t>Andreas Pierre</t>
  </si>
  <si>
    <t>Mathias Mueller</t>
  </si>
  <si>
    <t>Daniel Alexandre</t>
  </si>
  <si>
    <t>Raymond Dupiton</t>
  </si>
  <si>
    <t>Jean Jacques</t>
  </si>
  <si>
    <t>Monique Pierre</t>
  </si>
  <si>
    <t>Gérard Monrosty</t>
  </si>
  <si>
    <t>Richard Risler</t>
  </si>
  <si>
    <t>Emmanuel Collin</t>
  </si>
  <si>
    <t>Adresse mail</t>
  </si>
  <si>
    <t>anasezzouazi</t>
  </si>
  <si>
    <r>
      <t xml:space="preserve">Liste de </t>
    </r>
    <r>
      <rPr>
        <b/>
        <sz val="15"/>
        <color rgb="FF0070C0"/>
        <rFont val="Bati"/>
      </rPr>
      <t>clients</t>
    </r>
  </si>
  <si>
    <t>F-001</t>
  </si>
  <si>
    <t>F-002</t>
  </si>
  <si>
    <t>F-003</t>
  </si>
  <si>
    <r>
      <t xml:space="preserve">Nouvelle </t>
    </r>
    <r>
      <rPr>
        <b/>
        <sz val="15"/>
        <color rgb="FF0070C0"/>
        <rFont val="Bati"/>
      </rPr>
      <t>réglement</t>
    </r>
  </si>
  <si>
    <t>Veuillez saisir les les informations de chaque règlement</t>
  </si>
  <si>
    <r>
      <t xml:space="preserve">Liste de </t>
    </r>
    <r>
      <rPr>
        <b/>
        <sz val="15"/>
        <color rgb="FF0070C0"/>
        <rFont val="Bati"/>
      </rPr>
      <t>réglements</t>
    </r>
  </si>
  <si>
    <t>Date d'encaissement</t>
  </si>
  <si>
    <t>Référence</t>
  </si>
  <si>
    <t>mode de paiment</t>
  </si>
  <si>
    <t>solde</t>
  </si>
  <si>
    <t>retard(jour)</t>
  </si>
  <si>
    <t>référence</t>
  </si>
  <si>
    <t>montant encaissé</t>
  </si>
  <si>
    <t>virement</t>
  </si>
  <si>
    <t>espèce</t>
  </si>
  <si>
    <t>chèque</t>
  </si>
  <si>
    <t>89 av. casa 92120 Montrouge</t>
  </si>
  <si>
    <t>F-004</t>
  </si>
  <si>
    <t xml:space="preserve">MainPro </t>
  </si>
  <si>
    <t xml:space="preserve">TransExpress </t>
  </si>
  <si>
    <t xml:space="preserve">FixIt </t>
  </si>
  <si>
    <t xml:space="preserve">TechPro </t>
  </si>
  <si>
    <t xml:space="preserve">InfoTech </t>
  </si>
  <si>
    <t xml:space="preserve">InnoSoft </t>
  </si>
  <si>
    <t>ElectroTech</t>
  </si>
  <si>
    <t>SpeedTrans</t>
  </si>
  <si>
    <t xml:space="preserve">MainTech </t>
  </si>
  <si>
    <t xml:space="preserve">Electronova </t>
  </si>
  <si>
    <t xml:space="preserve">ElectroPlus </t>
  </si>
  <si>
    <t xml:space="preserve">LogiMove </t>
  </si>
  <si>
    <t xml:space="preserve">TransLine </t>
  </si>
  <si>
    <t xml:space="preserve">TechCare </t>
  </si>
  <si>
    <t xml:space="preserve">CyberTech </t>
  </si>
  <si>
    <t>F-005</t>
  </si>
  <si>
    <t>F-006</t>
  </si>
  <si>
    <t>F-007</t>
  </si>
  <si>
    <t>F-008</t>
  </si>
  <si>
    <t>F-009</t>
  </si>
  <si>
    <t>F-010</t>
  </si>
  <si>
    <t>F-011</t>
  </si>
  <si>
    <t>F-012</t>
  </si>
  <si>
    <t>F-013</t>
  </si>
  <si>
    <t>F-014</t>
  </si>
  <si>
    <t>F-015</t>
  </si>
  <si>
    <t>F-016</t>
  </si>
  <si>
    <t>F-017</t>
  </si>
  <si>
    <t>F-018</t>
  </si>
  <si>
    <t>F-019</t>
  </si>
  <si>
    <t>F-020</t>
  </si>
  <si>
    <t>F-021</t>
  </si>
  <si>
    <t>F-022</t>
  </si>
  <si>
    <t>F-023</t>
  </si>
  <si>
    <t>F-024</t>
  </si>
  <si>
    <t>F-025</t>
  </si>
  <si>
    <t>F-026</t>
  </si>
  <si>
    <t>F-027</t>
  </si>
  <si>
    <t>F-028</t>
  </si>
  <si>
    <t>F-029</t>
  </si>
  <si>
    <t>F-030</t>
  </si>
  <si>
    <t>F-031</t>
  </si>
  <si>
    <t>F-032</t>
  </si>
  <si>
    <t>F-033</t>
  </si>
  <si>
    <t>F-034</t>
  </si>
  <si>
    <t>F-035</t>
  </si>
  <si>
    <t>F-036</t>
  </si>
  <si>
    <t>F-037</t>
  </si>
  <si>
    <t>F-038</t>
  </si>
  <si>
    <t>F-039</t>
  </si>
  <si>
    <t>F-040</t>
  </si>
  <si>
    <t>F-041</t>
  </si>
  <si>
    <t>F-042</t>
  </si>
  <si>
    <t>F-043</t>
  </si>
  <si>
    <t>F-044</t>
  </si>
  <si>
    <t>F-045</t>
  </si>
  <si>
    <t>F-046</t>
  </si>
  <si>
    <t>F-047</t>
  </si>
  <si>
    <t>F-048</t>
  </si>
  <si>
    <t>F-049</t>
  </si>
  <si>
    <t>F-050</t>
  </si>
  <si>
    <t>F-051</t>
  </si>
  <si>
    <t>F-052</t>
  </si>
  <si>
    <t>F-053</t>
  </si>
  <si>
    <t>F-054</t>
  </si>
  <si>
    <t>F-055</t>
  </si>
  <si>
    <t>F-056</t>
  </si>
  <si>
    <t>F-057</t>
  </si>
  <si>
    <t>F-058</t>
  </si>
  <si>
    <t>F-059</t>
  </si>
  <si>
    <t>F-060</t>
  </si>
  <si>
    <t>F-061</t>
  </si>
  <si>
    <t>F-062</t>
  </si>
  <si>
    <t>F-063</t>
  </si>
  <si>
    <t>F-064</t>
  </si>
  <si>
    <t>F-065</t>
  </si>
  <si>
    <t>F-066</t>
  </si>
  <si>
    <t>F-067</t>
  </si>
  <si>
    <t>F-068</t>
  </si>
  <si>
    <t>F-069</t>
  </si>
  <si>
    <t>F-070</t>
  </si>
  <si>
    <t>R-070</t>
  </si>
  <si>
    <t>5 37 90 13 07</t>
  </si>
  <si>
    <t>5 77 49 42 42</t>
  </si>
  <si>
    <t>2 41 17 67 18</t>
  </si>
  <si>
    <t>291 route de Vienne 69355 Lyon</t>
  </si>
  <si>
    <t>48 rue des Alliés 2030 St Etienne</t>
  </si>
  <si>
    <t>89 av. Verdier 92120 Montrouge</t>
  </si>
  <si>
    <t>90 av. casa 92120 Montrouge</t>
  </si>
  <si>
    <t>anasezzouazi@gmail.com</t>
  </si>
  <si>
    <t>F-071</t>
  </si>
  <si>
    <t>R-071</t>
  </si>
  <si>
    <t>0669513646</t>
  </si>
  <si>
    <t>0677 49 42 42</t>
  </si>
  <si>
    <t>0677 5242 42</t>
  </si>
  <si>
    <t>0677 65 42 42</t>
  </si>
  <si>
    <t>0677 49 1010</t>
  </si>
  <si>
    <t>0677 49 4258</t>
  </si>
  <si>
    <t>0677 49 8888</t>
  </si>
  <si>
    <t>0677 49 1414</t>
  </si>
  <si>
    <t>18 Rue Royale, 75008 Paris</t>
  </si>
  <si>
    <t>tech.electro@mail.com</t>
  </si>
  <si>
    <t>electro.tech@mail.com</t>
  </si>
  <si>
    <t>electronova@mail.com</t>
  </si>
  <si>
    <t>electroplus@mail.com</t>
  </si>
  <si>
    <t>techpro@mail.com</t>
  </si>
  <si>
    <t>infotech@mail.com</t>
  </si>
  <si>
    <t>innosoft@mail.com</t>
  </si>
  <si>
    <t>cybertech@mail.com</t>
  </si>
  <si>
    <t>transline@mail.com</t>
  </si>
  <si>
    <t>logimove@mail.com</t>
  </si>
  <si>
    <t>transexpress@mail.com</t>
  </si>
  <si>
    <t>F-072</t>
  </si>
  <si>
    <t>F-073</t>
  </si>
  <si>
    <t>F-074</t>
  </si>
  <si>
    <t>F-075</t>
  </si>
  <si>
    <t>F-076</t>
  </si>
  <si>
    <t>F-077</t>
  </si>
  <si>
    <t>R-072</t>
  </si>
  <si>
    <t>R-073</t>
  </si>
  <si>
    <t>R-074</t>
  </si>
  <si>
    <t>R-075</t>
  </si>
  <si>
    <t>F-078</t>
  </si>
  <si>
    <t>F-079</t>
  </si>
  <si>
    <t>F-080</t>
  </si>
  <si>
    <t>R-065</t>
  </si>
  <si>
    <t>R-061</t>
  </si>
  <si>
    <t>R-059</t>
  </si>
  <si>
    <t>R-058</t>
  </si>
  <si>
    <t>R-055</t>
  </si>
  <si>
    <t>R-054</t>
  </si>
  <si>
    <t>R-052</t>
  </si>
  <si>
    <t>R-051</t>
  </si>
  <si>
    <t>R-050</t>
  </si>
  <si>
    <t>R-043</t>
  </si>
  <si>
    <t>R-042</t>
  </si>
  <si>
    <t>R-040</t>
  </si>
  <si>
    <t>F-,081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</si>
</sst>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C]_-;\-* #,##0.00\ [$€-40C]_-;_-* &quot;-&quot;??\ [$€-40C]_-;_-@_-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Bati"/>
    </font>
    <font>
      <b/>
      <sz val="15"/>
      <color theme="1"/>
      <name val="Bati"/>
    </font>
    <font>
      <b/>
      <sz val="15"/>
      <color rgb="FF0070C0"/>
      <name val="Bati"/>
    </font>
    <font>
      <sz val="11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sz val="11"/>
      <color theme="1"/>
      <name val="Open Sans SemiBold"/>
      <family val="2"/>
    </font>
    <font>
      <sz val="11"/>
      <color rgb="FF464F5F"/>
      <name val="Montserrat"/>
    </font>
    <font>
      <sz val="8"/>
      <name val="Calibri"/>
      <family val="2"/>
      <scheme val="minor"/>
    </font>
    <font>
      <b/>
      <sz val="11"/>
      <color theme="1"/>
      <name val="TaBI"/>
    </font>
    <font>
      <b/>
      <sz val="12"/>
      <color theme="1"/>
      <name val="Tabi"/>
    </font>
    <font>
      <b/>
      <sz val="1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0"/>
      <color theme="1" tint="4.9989318521683403E-2"/>
      <name val="Lato"/>
      <family val="2"/>
    </font>
    <font>
      <u/>
      <sz val="11"/>
      <color theme="10"/>
      <name val="Calibri"/>
      <family val="2"/>
      <scheme val="minor"/>
    </font>
    <font>
      <sz val="10"/>
      <color rgb="FF555555"/>
      <name val="Lato"/>
      <family val="2"/>
    </font>
  </fonts>
  <fills count="8">
    <fill>
      <patternFill patternType="none"/>
    </fill>
    <fill>
      <patternFill patternType="gray125"/>
    </fill>
    <fill>
      <patternFill patternType="solid">
        <fgColor rgb="FF3C41C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/>
      <diagonal/>
    </border>
    <border>
      <left/>
      <right/>
      <top style="dotted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 style="dotted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 style="dotted">
        <color theme="1" tint="0.249977111117893"/>
      </top>
      <bottom style="dotted">
        <color theme="1" tint="0.249977111117893"/>
      </bottom>
      <diagonal/>
    </border>
    <border>
      <left style="thin">
        <color theme="2"/>
      </left>
      <right style="thin">
        <color theme="2"/>
      </right>
      <top style="dotted">
        <color theme="1" tint="0.14999847407452621"/>
      </top>
      <bottom style="dotted">
        <color theme="1" tint="0.14999847407452621"/>
      </bottom>
      <diagonal/>
    </border>
    <border>
      <left/>
      <right/>
      <top/>
      <bottom style="dotted">
        <color theme="1" tint="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75">
    <xf numFmtId="0" fontId="0" fillId="0" borderId="0" xfId="0"/>
    <xf numFmtId="0" fontId="8" fillId="2" borderId="0" xfId="0" applyFont="1" applyFill="1" applyAlignment="1">
      <alignment horizontal="center" vertical="center"/>
    </xf>
    <xf numFmtId="0" fontId="3" fillId="0" borderId="0" xfId="0" applyFont="1"/>
    <xf numFmtId="0" fontId="2" fillId="0" borderId="0" xfId="0" applyFont="1"/>
    <xf numFmtId="49" fontId="0" fillId="0" borderId="0" xfId="0" applyNumberFormat="1"/>
    <xf numFmtId="49" fontId="8" fillId="2" borderId="0" xfId="0" applyNumberFormat="1" applyFont="1" applyFill="1" applyAlignment="1">
      <alignment horizontal="center" vertical="center"/>
    </xf>
    <xf numFmtId="0" fontId="0" fillId="3" borderId="0" xfId="0" applyFill="1"/>
    <xf numFmtId="14" fontId="0" fillId="3" borderId="0" xfId="0" applyNumberFormat="1" applyFill="1"/>
    <xf numFmtId="0" fontId="1" fillId="3" borderId="0" xfId="0" applyFon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14" fontId="1" fillId="4" borderId="0" xfId="0" applyNumberFormat="1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4" fontId="0" fillId="4" borderId="0" xfId="0" applyNumberFormat="1" applyFill="1"/>
    <xf numFmtId="0" fontId="13" fillId="3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3" fillId="4" borderId="0" xfId="0" applyNumberFormat="1" applyFont="1" applyFill="1" applyAlignment="1">
      <alignment horizontal="center" vertical="center"/>
    </xf>
    <xf numFmtId="164" fontId="0" fillId="4" borderId="0" xfId="0" applyNumberFormat="1" applyFill="1"/>
    <xf numFmtId="164" fontId="0" fillId="3" borderId="0" xfId="0" applyNumberFormat="1" applyFill="1"/>
    <xf numFmtId="164" fontId="0" fillId="4" borderId="0" xfId="0" applyNumberFormat="1" applyFill="1" applyAlignment="1">
      <alignment horizontal="center"/>
    </xf>
    <xf numFmtId="164" fontId="13" fillId="4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4" fontId="14" fillId="4" borderId="0" xfId="0" applyNumberFormat="1" applyFont="1" applyFill="1" applyAlignment="1">
      <alignment horizontal="center" vertical="center"/>
    </xf>
    <xf numFmtId="164" fontId="7" fillId="4" borderId="0" xfId="0" applyNumberFormat="1" applyFont="1" applyFill="1" applyAlignment="1">
      <alignment horizontal="center" vertical="center"/>
    </xf>
    <xf numFmtId="164" fontId="14" fillId="4" borderId="0" xfId="0" applyNumberFormat="1" applyFont="1" applyFill="1" applyAlignment="1">
      <alignment horizontal="left" vertical="top"/>
    </xf>
    <xf numFmtId="14" fontId="15" fillId="4" borderId="0" xfId="0" applyNumberFormat="1" applyFont="1" applyFill="1" applyAlignment="1">
      <alignment horizontal="center" vertical="center"/>
    </xf>
    <xf numFmtId="164" fontId="15" fillId="4" borderId="0" xfId="0" applyNumberFormat="1" applyFont="1" applyFill="1" applyAlignment="1">
      <alignment horizontal="left" vertical="top"/>
    </xf>
    <xf numFmtId="164" fontId="1" fillId="4" borderId="0" xfId="0" applyNumberFormat="1" applyFont="1" applyFill="1"/>
    <xf numFmtId="164" fontId="11" fillId="4" borderId="1" xfId="0" applyNumberFormat="1" applyFont="1" applyFill="1" applyBorder="1" applyAlignment="1">
      <alignment horizontal="center" vertical="center"/>
    </xf>
    <xf numFmtId="14" fontId="0" fillId="4" borderId="2" xfId="0" applyNumberFormat="1" applyFill="1" applyBorder="1"/>
    <xf numFmtId="0" fontId="7" fillId="4" borderId="3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64" fontId="11" fillId="4" borderId="6" xfId="0" applyNumberFormat="1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14" fontId="11" fillId="4" borderId="7" xfId="0" applyNumberFormat="1" applyFont="1" applyFill="1" applyBorder="1" applyAlignment="1">
      <alignment horizontal="center" vertical="center"/>
    </xf>
    <xf numFmtId="0" fontId="0" fillId="4" borderId="5" xfId="0" applyFill="1" applyBorder="1"/>
    <xf numFmtId="164" fontId="0" fillId="4" borderId="5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14" fontId="11" fillId="4" borderId="1" xfId="0" applyNumberFormat="1" applyFont="1" applyFill="1" applyBorder="1" applyAlignment="1">
      <alignment horizontal="center" vertical="center"/>
    </xf>
    <xf numFmtId="164" fontId="11" fillId="4" borderId="8" xfId="0" applyNumberFormat="1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64" fontId="13" fillId="5" borderId="0" xfId="0" applyNumberFormat="1" applyFont="1" applyFill="1" applyAlignment="1">
      <alignment horizontal="center" vertical="center"/>
    </xf>
    <xf numFmtId="14" fontId="13" fillId="5" borderId="0" xfId="0" applyNumberFormat="1" applyFont="1" applyFill="1" applyAlignment="1">
      <alignment horizontal="center" vertical="center"/>
    </xf>
    <xf numFmtId="49" fontId="9" fillId="6" borderId="10" xfId="0" applyNumberFormat="1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 wrapText="1"/>
    </xf>
    <xf numFmtId="2" fontId="9" fillId="6" borderId="10" xfId="0" applyNumberFormat="1" applyFont="1" applyFill="1" applyBorder="1" applyAlignment="1">
      <alignment horizontal="center" vertical="center" wrapText="1"/>
    </xf>
    <xf numFmtId="3" fontId="9" fillId="6" borderId="10" xfId="0" applyNumberFormat="1" applyFont="1" applyFill="1" applyBorder="1" applyAlignment="1">
      <alignment horizontal="center" vertical="center" wrapText="1"/>
    </xf>
    <xf numFmtId="49" fontId="16" fillId="6" borderId="10" xfId="1" applyNumberForma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14" fontId="17" fillId="6" borderId="10" xfId="0" applyNumberFormat="1" applyFont="1" applyFill="1" applyBorder="1" applyAlignment="1">
      <alignment horizontal="center" vertical="center"/>
    </xf>
    <xf numFmtId="14" fontId="12" fillId="4" borderId="7" xfId="0" applyNumberFormat="1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164" fontId="13" fillId="3" borderId="0" xfId="0" applyNumberFormat="1" applyFont="1" applyFill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0" fillId="4" borderId="0" xfId="0" applyNumberFormat="1" applyFill="1" applyAlignment="1">
      <alignment horizontal="left" vertical="center"/>
    </xf>
    <xf numFmtId="49" fontId="7" fillId="4" borderId="4" xfId="0" applyNumberFormat="1" applyFont="1" applyFill="1" applyBorder="1" applyAlignment="1">
      <alignment horizontal="left" vertical="center"/>
    </xf>
    <xf numFmtId="49" fontId="13" fillId="5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6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</cellXfs>
  <cellStyles count="2">
    <cellStyle name="Lien hypertexte" xfId="1" builtinId="8"/>
    <cellStyle name="Normal" xfId="0" builtinId="0"/>
  </cellStyles>
  <dxfs count="43">
    <dxf>
      <font>
        <color theme="0"/>
      </font>
      <fill>
        <patternFill>
          <bgColor rgb="FF92D05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92D05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</dxf>
    <dxf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sz val="10"/>
        <color theme="1" tint="4.9989318521683403E-2"/>
        <name val="Lato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</dxf>
    <dxf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</dxf>
    <dxf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464F5F"/>
        <name val="Montserrat"/>
        <scheme val="none"/>
      </font>
      <numFmt numFmtId="30" formatCode="@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3C41CD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70AD"/>
      <color rgb="FFEBF0F9"/>
      <color rgb="FF009EDE"/>
      <color rgb="FFDDDDDD"/>
      <color rgb="FFBCC4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2796540</xdr:colOff>
      <xdr:row>1</xdr:row>
      <xdr:rowOff>0</xdr:rowOff>
    </xdr:from>
    <xdr:to>
      <xdr:col>3</xdr:col>
      <xdr:colOff>1005840</xdr:colOff>
      <xdr:row>3</xdr:row>
      <xdr:rowOff>22860</xdr:rowOff>
    </xdr:to>
    <xdr:sp macro="[0]!versreg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E6A98B4-9297-46D0-B497-F064580C8504}"/>
            </a:ext>
          </a:extLst>
        </xdr:cNvPr>
        <xdr:cNvSpPr/>
      </xdr:nvSpPr>
      <xdr:spPr>
        <a:xfrm>
          <a:off x="5440680" y="18288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>
                  <a:lumMod val="65000"/>
                  <a:lumOff val="35000"/>
                </a:schemeClr>
              </a:solidFill>
            </a:rPr>
            <a:t>Réglement</a:t>
          </a:r>
        </a:p>
      </xdr:txBody>
    </xdr:sp>
    <xdr:clientData/>
  </xdr:twoCellAnchor>
  <xdr:twoCellAnchor>
    <xdr:from>
      <xdr:col>2</xdr:col>
      <xdr:colOff>1398270</xdr:colOff>
      <xdr:row>1</xdr:row>
      <xdr:rowOff>0</xdr:rowOff>
    </xdr:from>
    <xdr:to>
      <xdr:col>2</xdr:col>
      <xdr:colOff>2434590</xdr:colOff>
      <xdr:row>3</xdr:row>
      <xdr:rowOff>22860</xdr:rowOff>
    </xdr:to>
    <xdr:sp macro="[0]!verscreanc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859D612-521A-4740-828A-52756CCC984B}"/>
            </a:ext>
          </a:extLst>
        </xdr:cNvPr>
        <xdr:cNvSpPr/>
      </xdr:nvSpPr>
      <xdr:spPr>
        <a:xfrm>
          <a:off x="4042410" y="18288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>
                  <a:lumMod val="65000"/>
                  <a:lumOff val="35000"/>
                </a:schemeClr>
              </a:solidFill>
            </a:rPr>
            <a:t>Créance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1036320</xdr:colOff>
      <xdr:row>3</xdr:row>
      <xdr:rowOff>22860</xdr:rowOff>
    </xdr:to>
    <xdr:sp macro="[0]!versparametre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5E18A9B-57F8-49D5-945E-0B7EF54EFF5D}"/>
            </a:ext>
          </a:extLst>
        </xdr:cNvPr>
        <xdr:cNvSpPr/>
      </xdr:nvSpPr>
      <xdr:spPr>
        <a:xfrm>
          <a:off x="2644140" y="18288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rgbClr val="0070AD"/>
              </a:solidFill>
            </a:rPr>
            <a:t>Paramètres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354330</xdr:colOff>
      <xdr:row>5</xdr:row>
      <xdr:rowOff>137160</xdr:rowOff>
    </xdr:from>
    <xdr:to>
      <xdr:col>11</xdr:col>
      <xdr:colOff>560070</xdr:colOff>
      <xdr:row>7</xdr:row>
      <xdr:rowOff>83820</xdr:rowOff>
    </xdr:to>
    <xdr:sp macro="[0]!ajoutecreanc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90D375B-70E0-D87F-6AE5-5E3C436FBD9C}"/>
            </a:ext>
          </a:extLst>
        </xdr:cNvPr>
        <xdr:cNvSpPr/>
      </xdr:nvSpPr>
      <xdr:spPr>
        <a:xfrm>
          <a:off x="12325350" y="1112520"/>
          <a:ext cx="998220" cy="31242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kern="1200"/>
            <a:t>Ajouter</a:t>
          </a:r>
        </a:p>
      </xdr:txBody>
    </xdr:sp>
    <xdr:clientData/>
  </xdr:twoCellAnchor>
  <xdr:twoCellAnchor>
    <xdr:from>
      <xdr:col>10</xdr:col>
      <xdr:colOff>354330</xdr:colOff>
      <xdr:row>7</xdr:row>
      <xdr:rowOff>167640</xdr:rowOff>
    </xdr:from>
    <xdr:to>
      <xdr:col>11</xdr:col>
      <xdr:colOff>560070</xdr:colOff>
      <xdr:row>9</xdr:row>
      <xdr:rowOff>83820</xdr:rowOff>
    </xdr:to>
    <xdr:sp macro="[0]!annulercreanc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EDD89E3-E8BB-4D5F-B305-916641E81B04}"/>
            </a:ext>
          </a:extLst>
        </xdr:cNvPr>
        <xdr:cNvSpPr/>
      </xdr:nvSpPr>
      <xdr:spPr>
        <a:xfrm>
          <a:off x="12325350" y="1508760"/>
          <a:ext cx="998220" cy="312420"/>
        </a:xfrm>
        <a:prstGeom prst="roundRect">
          <a:avLst/>
        </a:prstGeom>
        <a:solidFill>
          <a:srgbClr val="BCC4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3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Annuler</a:t>
          </a:r>
          <a:endParaRPr lang="fr-FR" sz="13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6</xdr:col>
      <xdr:colOff>1280914</xdr:colOff>
      <xdr:row>2</xdr:row>
      <xdr:rowOff>0</xdr:rowOff>
    </xdr:from>
    <xdr:to>
      <xdr:col>7</xdr:col>
      <xdr:colOff>910465</xdr:colOff>
      <xdr:row>4</xdr:row>
      <xdr:rowOff>20181</xdr:rowOff>
    </xdr:to>
    <xdr:sp macro="[0]!versreglement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0FC0B30-E373-4C59-A7F1-11547F470658}"/>
            </a:ext>
          </a:extLst>
        </xdr:cNvPr>
        <xdr:cNvSpPr/>
      </xdr:nvSpPr>
      <xdr:spPr>
        <a:xfrm>
          <a:off x="8222650" y="36844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>
                  <a:lumMod val="65000"/>
                  <a:lumOff val="35000"/>
                </a:schemeClr>
              </a:solidFill>
            </a:rPr>
            <a:t>Réglement</a:t>
          </a:r>
        </a:p>
      </xdr:txBody>
    </xdr:sp>
    <xdr:clientData/>
  </xdr:twoCellAnchor>
  <xdr:twoCellAnchor>
    <xdr:from>
      <xdr:col>5</xdr:col>
      <xdr:colOff>1398270</xdr:colOff>
      <xdr:row>2</xdr:row>
      <xdr:rowOff>0</xdr:rowOff>
    </xdr:from>
    <xdr:to>
      <xdr:col>6</xdr:col>
      <xdr:colOff>918964</xdr:colOff>
      <xdr:row>4</xdr:row>
      <xdr:rowOff>20181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7E56926-9C93-4C5D-92A9-0EC28B2E183A}"/>
            </a:ext>
          </a:extLst>
        </xdr:cNvPr>
        <xdr:cNvSpPr/>
      </xdr:nvSpPr>
      <xdr:spPr>
        <a:xfrm>
          <a:off x="6824380" y="36844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rgbClr val="0070AD"/>
              </a:solidFill>
            </a:rPr>
            <a:t>Créance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5</xdr:col>
      <xdr:colOff>1036320</xdr:colOff>
      <xdr:row>4</xdr:row>
      <xdr:rowOff>20181</xdr:rowOff>
    </xdr:to>
    <xdr:sp macro="[0]!versparametres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D26AA047-8751-40A3-AD20-7BD9A36DCEFC}"/>
            </a:ext>
          </a:extLst>
        </xdr:cNvPr>
        <xdr:cNvSpPr/>
      </xdr:nvSpPr>
      <xdr:spPr>
        <a:xfrm>
          <a:off x="5426110" y="36844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>
                  <a:lumMod val="65000"/>
                  <a:lumOff val="35000"/>
                </a:schemeClr>
              </a:solidFill>
            </a:rPr>
            <a:t>Paramètres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346710</xdr:colOff>
      <xdr:row>6</xdr:row>
      <xdr:rowOff>99060</xdr:rowOff>
    </xdr:from>
    <xdr:to>
      <xdr:col>7</xdr:col>
      <xdr:colOff>1354710</xdr:colOff>
      <xdr:row>8</xdr:row>
      <xdr:rowOff>6060</xdr:rowOff>
    </xdr:to>
    <xdr:sp macro="[0]!ajouterreglement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6C006D8B-EEBF-DCFE-356D-90AF47729E13}"/>
            </a:ext>
          </a:extLst>
        </xdr:cNvPr>
        <xdr:cNvSpPr/>
      </xdr:nvSpPr>
      <xdr:spPr>
        <a:xfrm>
          <a:off x="8774430" y="1257300"/>
          <a:ext cx="1008000" cy="2880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kern="1200"/>
            <a:t>Ajouter</a:t>
          </a:r>
        </a:p>
      </xdr:txBody>
    </xdr:sp>
    <xdr:clientData/>
  </xdr:twoCellAnchor>
  <xdr:twoCellAnchor>
    <xdr:from>
      <xdr:col>7</xdr:col>
      <xdr:colOff>346710</xdr:colOff>
      <xdr:row>8</xdr:row>
      <xdr:rowOff>114300</xdr:rowOff>
    </xdr:from>
    <xdr:to>
      <xdr:col>7</xdr:col>
      <xdr:colOff>1354710</xdr:colOff>
      <xdr:row>10</xdr:row>
      <xdr:rowOff>6060</xdr:rowOff>
    </xdr:to>
    <xdr:sp macro="[0]!annulereglement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1F413926-D97E-B775-1BC0-754B0D5ABF30}"/>
            </a:ext>
          </a:extLst>
        </xdr:cNvPr>
        <xdr:cNvSpPr/>
      </xdr:nvSpPr>
      <xdr:spPr>
        <a:xfrm>
          <a:off x="8774430" y="1653540"/>
          <a:ext cx="1008000" cy="288000"/>
        </a:xfrm>
        <a:prstGeom prst="roundRect">
          <a:avLst/>
        </a:prstGeom>
        <a:solidFill>
          <a:srgbClr val="BCC4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3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Annuler</a:t>
          </a:r>
          <a:endParaRPr lang="fr-FR" sz="13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5</xdr:col>
      <xdr:colOff>548640</xdr:colOff>
      <xdr:row>0</xdr:row>
      <xdr:rowOff>144780</xdr:rowOff>
    </xdr:from>
    <xdr:to>
      <xdr:col>6</xdr:col>
      <xdr:colOff>68580</xdr:colOff>
      <xdr:row>2</xdr:row>
      <xdr:rowOff>167640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5D8CE98-55C2-13AC-D37B-2F2234F46AD2}"/>
            </a:ext>
          </a:extLst>
        </xdr:cNvPr>
        <xdr:cNvSpPr/>
      </xdr:nvSpPr>
      <xdr:spPr>
        <a:xfrm>
          <a:off x="6446520" y="14478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rgbClr val="0070AD"/>
              </a:solidFill>
            </a:rPr>
            <a:t>Réglement</a:t>
          </a:r>
        </a:p>
      </xdr:txBody>
    </xdr:sp>
    <xdr:clientData/>
  </xdr:twoCellAnchor>
  <xdr:twoCellAnchor>
    <xdr:from>
      <xdr:col>4</xdr:col>
      <xdr:colOff>803910</xdr:colOff>
      <xdr:row>0</xdr:row>
      <xdr:rowOff>144780</xdr:rowOff>
    </xdr:from>
    <xdr:to>
      <xdr:col>5</xdr:col>
      <xdr:colOff>186690</xdr:colOff>
      <xdr:row>2</xdr:row>
      <xdr:rowOff>167640</xdr:rowOff>
    </xdr:to>
    <xdr:sp macro="[0]!verscreanc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D83AB54-18D1-42E7-9080-E57C9F8DD7EC}"/>
            </a:ext>
          </a:extLst>
        </xdr:cNvPr>
        <xdr:cNvSpPr/>
      </xdr:nvSpPr>
      <xdr:spPr>
        <a:xfrm>
          <a:off x="5048250" y="14478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>
                  <a:lumMod val="65000"/>
                  <a:lumOff val="35000"/>
                </a:schemeClr>
              </a:solidFill>
            </a:rPr>
            <a:t>Créance</a:t>
          </a:r>
        </a:p>
      </xdr:txBody>
    </xdr:sp>
    <xdr:clientData/>
  </xdr:twoCellAnchor>
  <xdr:twoCellAnchor>
    <xdr:from>
      <xdr:col>3</xdr:col>
      <xdr:colOff>937260</xdr:colOff>
      <xdr:row>0</xdr:row>
      <xdr:rowOff>144780</xdr:rowOff>
    </xdr:from>
    <xdr:to>
      <xdr:col>4</xdr:col>
      <xdr:colOff>441960</xdr:colOff>
      <xdr:row>2</xdr:row>
      <xdr:rowOff>167640</xdr:rowOff>
    </xdr:to>
    <xdr:sp macro="[0]!versparametre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CAA649E-DE04-4138-8E99-694EADD58B2A}"/>
            </a:ext>
          </a:extLst>
        </xdr:cNvPr>
        <xdr:cNvSpPr/>
      </xdr:nvSpPr>
      <xdr:spPr>
        <a:xfrm>
          <a:off x="3649980" y="144780"/>
          <a:ext cx="1036320" cy="388620"/>
        </a:xfrm>
        <a:prstGeom prst="roundRect">
          <a:avLst/>
        </a:prstGeom>
        <a:solidFill>
          <a:srgbClr val="EBF0F9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>
                  <a:lumMod val="65000"/>
                  <a:lumOff val="35000"/>
                </a:schemeClr>
              </a:solidFill>
            </a:rPr>
            <a:t>Paramètres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BE2618-F91E-4C3E-A837-C6A2E5848901}" name="listeClients" displayName="listeClients" ref="B8:E48" totalsRowShown="0" headerRowDxfId="42" dataDxfId="41">
  <autoFilter ref="B8:E48" xr:uid="{AABE2618-F91E-4C3E-A837-C6A2E5848901}"/>
  <tableColumns count="4">
    <tableColumn id="1" xr3:uid="{45644499-8AE6-47F2-B043-96F8EE9A9203}" name="NOM" dataDxfId="40"/>
    <tableColumn id="4" xr3:uid="{3FA4FB80-5E82-49FB-BD9B-24A9DD761674}" name="TELEPHONE" dataDxfId="39"/>
    <tableColumn id="2" xr3:uid="{DD2C1B5B-F804-4DC3-B93E-10AC4E681A55}" name="ADRESSE" dataDxfId="38"/>
    <tableColumn id="3" xr3:uid="{D40B3CEC-B68D-4127-B94D-2B0506592D83}" name="Adresse mail" dataDxfId="3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138EE7-BFEC-42D1-8BA0-40F8923D0A76}" name="listeCreances" displayName="listeCreances" ref="C12:M99" totalsRowShown="0" dataDxfId="36">
  <autoFilter ref="C12:M99" xr:uid="{8A138EE7-BFEC-42D1-8BA0-40F8923D0A76}">
    <filterColumn colId="9">
      <filters>
        <filter val="échue[1,30]"/>
        <filter val="échue[31,60]"/>
        <filter val="échue[61,90]"/>
        <filter val="échue&gt;90"/>
      </filters>
    </filterColumn>
  </autoFilter>
  <sortState xmlns:xlrd2="http://schemas.microsoft.com/office/spreadsheetml/2017/richdata2" ref="C13:M99">
    <sortCondition descending="1" ref="C12:C99"/>
  </sortState>
  <tableColumns count="11">
    <tableColumn id="1" xr3:uid="{3F29859A-964C-4462-BBA4-7034998CBAC6}" name="N° de facture" dataDxfId="35" totalsRowDxfId="34"/>
    <tableColumn id="2" xr3:uid="{56F3B190-A4E9-4B14-AFE1-13159A25992D}" name="Date d'émission" dataDxfId="33" totalsRowDxfId="32"/>
    <tableColumn id="3" xr3:uid="{FA607973-EC97-4A03-94E6-F12F38DCE97E}" name="Client" dataDxfId="31" totalsRowDxfId="30"/>
    <tableColumn id="4" xr3:uid="{443A2E3B-6C62-478E-BCD2-3BD57D21F141}" name="Délai de règlement" dataDxfId="29" totalsRowDxfId="28"/>
    <tableColumn id="5" xr3:uid="{7093047D-39B8-4ADE-B7AA-6224F9FE41E2}" name="Montant facturé" dataDxfId="27" totalsRowDxfId="26"/>
    <tableColumn id="6" xr3:uid="{1F5A6143-340A-43C4-9E8C-1013D302CABA}" name="Montant encaissé" dataDxfId="25" totalsRowDxfId="24">
      <calculatedColumnFormula>SUMIF(réglement[N° de facture],listeCreances[[#This Row],[N° de facture]],réglement[Montant encaissé])</calculatedColumnFormula>
    </tableColumn>
    <tableColumn id="7" xr3:uid="{7372BB13-F683-41C2-A1B8-B3D5D7138E16}" name="Solde" dataDxfId="23" totalsRowDxfId="22">
      <calculatedColumnFormula>listeCreances[[#This Row],[Montant facturé]]-listeCreances[[#This Row],[Montant encaissé]]</calculatedColumnFormula>
    </tableColumn>
    <tableColumn id="8" xr3:uid="{311AFC5A-7F4C-4E7E-BB87-8994DB245804}" name="Échéance" dataDxfId="21" totalsRowDxfId="20">
      <calculatedColumnFormula>listeCreances[[#This Row],[Date d''émission]]+listeCreances[[#This Row],[Délai de règlement]]</calculatedColumnFormula>
    </tableColumn>
    <tableColumn id="9" xr3:uid="{9EAD317C-05C6-40A6-917E-F3BF5F5EB7C8}" name="Retard" dataDxfId="19" totalsRowDxfId="18">
      <calculatedColumnFormula>IF(listeCreances[[#This Row],[Solde]]=0,"",TODAY()-J13)</calculatedColumnFormula>
    </tableColumn>
    <tableColumn id="10" xr3:uid="{FCB3CCB1-0592-4F1E-8DEC-E4CE7359CF55}" name="Statut" dataDxfId="17" totalsRowDxfId="16">
      <calculatedColumnFormula>IF(listeCreances[[#This Row],[Retard]]="","payé",IF(K13&lt;=0,"non échue",IF(K13&lt;=30,"échue[1,30]",IF(K13&lt;=60,"échue[31,60]",IF(K13&lt;=90,"échue[61,90]","échue&gt;90")))))</calculatedColumnFormula>
    </tableColumn>
    <tableColumn id="12" xr3:uid="{7A084AE0-52C9-49AE-A9EE-67B70070DDD2}" name="Remarque sur client" dataDxfId="15" totalsRow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A736B6-A26D-4A72-89D1-1A4D391AA937}" name="réglement" displayName="réglement" ref="C18:H77" totalsRowShown="0" headerRowDxfId="13" dataDxfId="12">
  <autoFilter ref="C18:H77" xr:uid="{19A736B6-A26D-4A72-89D1-1A4D391AA937}"/>
  <tableColumns count="6">
    <tableColumn id="1" xr3:uid="{F09EF552-A6BF-47C0-AF3A-CBE96788F30F}" name="N° de facture" dataDxfId="11"/>
    <tableColumn id="3" xr3:uid="{878369B8-7B16-4DC3-97E0-9E6FBDA196C9}" name="Client" dataDxfId="10"/>
    <tableColumn id="4" xr3:uid="{1C29FC67-8A69-44C6-B506-4D52F98020CB}" name="Date d'encaissement" dataDxfId="9"/>
    <tableColumn id="5" xr3:uid="{DAE76401-27F8-4660-90C0-C968F614C431}" name="Référence" dataDxfId="8">
      <calculatedColumnFormula>SUBSTITUTE(réglement[[#This Row],[N° de facture]],"F","R")</calculatedColumnFormula>
    </tableColumn>
    <tableColumn id="6" xr3:uid="{5B44A9C1-927F-4C93-A5C1-A254360AFEF7}" name="Montant encaissé" dataDxfId="7"/>
    <tableColumn id="7" xr3:uid="{47AE328E-3441-4EDB-89EC-26B6286C3C07}" name="mode de paiment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ybertech@mail.co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mailto:electronova@mail.com" TargetMode="External"/><Relationship Id="rId7" Type="http://schemas.openxmlformats.org/officeDocument/2006/relationships/hyperlink" Target="mailto:innosoft@mail.com" TargetMode="External"/><Relationship Id="rId12" Type="http://schemas.openxmlformats.org/officeDocument/2006/relationships/hyperlink" Target="mailto:anasezzouazi@gmail.com" TargetMode="External"/><Relationship Id="rId2" Type="http://schemas.openxmlformats.org/officeDocument/2006/relationships/hyperlink" Target="mailto:electro.tech@mail.com" TargetMode="External"/><Relationship Id="rId1" Type="http://schemas.openxmlformats.org/officeDocument/2006/relationships/hyperlink" Target="mailto:tech.electro@mail.com" TargetMode="External"/><Relationship Id="rId6" Type="http://schemas.openxmlformats.org/officeDocument/2006/relationships/hyperlink" Target="mailto:infotech@mail.com" TargetMode="External"/><Relationship Id="rId11" Type="http://schemas.openxmlformats.org/officeDocument/2006/relationships/hyperlink" Target="mailto:transexpress@mail.com" TargetMode="External"/><Relationship Id="rId5" Type="http://schemas.openxmlformats.org/officeDocument/2006/relationships/hyperlink" Target="mailto:techpro@mail.com" TargetMode="External"/><Relationship Id="rId10" Type="http://schemas.openxmlformats.org/officeDocument/2006/relationships/hyperlink" Target="mailto:logimove@mail.com" TargetMode="External"/><Relationship Id="rId4" Type="http://schemas.openxmlformats.org/officeDocument/2006/relationships/hyperlink" Target="mailto:electroplus@mail.com" TargetMode="External"/><Relationship Id="rId9" Type="http://schemas.openxmlformats.org/officeDocument/2006/relationships/hyperlink" Target="mailto:transline@mail.com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1080-45E2-48B2-8D7B-D1EFE7B0897E}">
  <sheetPr codeName="Feuil4"/>
  <dimension ref="B2:E48"/>
  <sheetViews>
    <sheetView showGridLines="0" topLeftCell="A20" workbookViewId="0">
      <selection activeCell="I22" sqref="I22"/>
    </sheetView>
  </sheetViews>
  <sheetFormatPr baseColWidth="10" defaultRowHeight="14.4"/>
  <cols>
    <col min="2" max="2" width="27" customWidth="1"/>
    <col min="3" max="4" width="41.21875" customWidth="1"/>
    <col min="5" max="5" width="37.88671875" style="4" customWidth="1"/>
  </cols>
  <sheetData>
    <row r="2" spans="2:5">
      <c r="D2" s="3"/>
    </row>
    <row r="5" spans="2:5" ht="19.95" customHeight="1"/>
    <row r="6" spans="2:5" ht="19.95" customHeight="1">
      <c r="B6" s="2" t="s">
        <v>66</v>
      </c>
    </row>
    <row r="7" spans="2:5" ht="19.95" customHeight="1"/>
    <row r="8" spans="2:5" ht="19.95" customHeight="1">
      <c r="B8" s="1" t="s">
        <v>16</v>
      </c>
      <c r="C8" s="1" t="s">
        <v>18</v>
      </c>
      <c r="D8" s="1" t="s">
        <v>17</v>
      </c>
      <c r="E8" s="5" t="s">
        <v>64</v>
      </c>
    </row>
    <row r="9" spans="2:5" ht="19.95" customHeight="1">
      <c r="B9" s="53" t="s">
        <v>19</v>
      </c>
      <c r="C9" s="54" t="s">
        <v>21</v>
      </c>
      <c r="D9" s="55" t="s">
        <v>20</v>
      </c>
      <c r="E9" s="53" t="str">
        <f t="shared" ref="E9:E10" si="0">B9&amp;"@gmail.com"</f>
        <v>Mathieu Bernard @gmail.com</v>
      </c>
    </row>
    <row r="10" spans="2:5" ht="19.95" customHeight="1">
      <c r="B10" s="53" t="s">
        <v>22</v>
      </c>
      <c r="C10" s="55" t="s">
        <v>24</v>
      </c>
      <c r="D10" s="55" t="s">
        <v>23</v>
      </c>
      <c r="E10" s="53" t="str">
        <f t="shared" si="0"/>
        <v>Emmanuel Edgardo@gmail.com</v>
      </c>
    </row>
    <row r="11" spans="2:5" ht="19.95" customHeight="1">
      <c r="B11" s="53" t="s">
        <v>25</v>
      </c>
      <c r="C11" s="55" t="s">
        <v>27</v>
      </c>
      <c r="D11" s="55" t="s">
        <v>26</v>
      </c>
      <c r="E11" s="53" t="str">
        <f>B11&amp;"@gmail.com"</f>
        <v>Gracia Cestin@gmail.com</v>
      </c>
    </row>
    <row r="12" spans="2:5" ht="19.95" customHeight="1">
      <c r="B12" s="53" t="s">
        <v>28</v>
      </c>
      <c r="C12" s="55" t="s">
        <v>30</v>
      </c>
      <c r="D12" s="55" t="s">
        <v>29</v>
      </c>
      <c r="E12" s="53" t="str">
        <f t="shared" ref="E12:E32" si="1">B12&amp;"@gmail.com"</f>
        <v>Louinord Joseph@gmail.com</v>
      </c>
    </row>
    <row r="13" spans="2:5" ht="19.95" customHeight="1">
      <c r="B13" s="53" t="s">
        <v>31</v>
      </c>
      <c r="C13" s="55" t="s">
        <v>33</v>
      </c>
      <c r="D13" s="55" t="s">
        <v>32</v>
      </c>
      <c r="E13" s="53" t="str">
        <f t="shared" si="1"/>
        <v>Pauline Lamothe@gmail.com</v>
      </c>
    </row>
    <row r="14" spans="2:5" ht="19.95" customHeight="1">
      <c r="B14" s="53" t="s">
        <v>34</v>
      </c>
      <c r="C14" s="55" t="s">
        <v>36</v>
      </c>
      <c r="D14" s="54" t="s">
        <v>35</v>
      </c>
      <c r="E14" s="53" t="str">
        <f t="shared" si="1"/>
        <v>Olivier Jean-Louis@gmail.com</v>
      </c>
    </row>
    <row r="15" spans="2:5" ht="19.95" customHeight="1">
      <c r="B15" s="53" t="s">
        <v>37</v>
      </c>
      <c r="C15" s="55" t="s">
        <v>39</v>
      </c>
      <c r="D15" s="55" t="s">
        <v>38</v>
      </c>
      <c r="E15" s="53" t="str">
        <f t="shared" si="1"/>
        <v>Eddy Luckecy@gmail.com</v>
      </c>
    </row>
    <row r="16" spans="2:5" ht="19.95" customHeight="1">
      <c r="B16" s="53" t="s">
        <v>40</v>
      </c>
      <c r="C16" s="55" t="s">
        <v>42</v>
      </c>
      <c r="D16" s="55" t="s">
        <v>41</v>
      </c>
      <c r="E16" s="53" t="str">
        <f t="shared" si="1"/>
        <v>Guillaum Thimothe@gmail.com</v>
      </c>
    </row>
    <row r="17" spans="2:5" ht="19.95" customHeight="1">
      <c r="B17" s="53" t="s">
        <v>43</v>
      </c>
      <c r="C17" s="55" t="s">
        <v>45</v>
      </c>
      <c r="D17" s="55" t="s">
        <v>44</v>
      </c>
      <c r="E17" s="53" t="str">
        <f t="shared" si="1"/>
        <v>Anne Marie Marquant@gmail.com</v>
      </c>
    </row>
    <row r="18" spans="2:5" ht="19.95" customHeight="1">
      <c r="B18" s="53" t="s">
        <v>46</v>
      </c>
      <c r="C18" s="55" t="s">
        <v>39</v>
      </c>
      <c r="D18" s="55" t="s">
        <v>47</v>
      </c>
      <c r="E18" s="53" t="str">
        <f t="shared" si="1"/>
        <v>Fedline Joseph@gmail.com</v>
      </c>
    </row>
    <row r="19" spans="2:5" ht="19.95" customHeight="1">
      <c r="B19" s="53" t="s">
        <v>48</v>
      </c>
      <c r="C19" s="55" t="s">
        <v>50</v>
      </c>
      <c r="D19" s="54" t="s">
        <v>49</v>
      </c>
      <c r="E19" s="53" t="str">
        <f t="shared" si="1"/>
        <v>Roland Dely@gmail.com</v>
      </c>
    </row>
    <row r="20" spans="2:5" ht="19.95" customHeight="1">
      <c r="B20" s="53" t="s">
        <v>51</v>
      </c>
      <c r="C20" s="55" t="s">
        <v>24</v>
      </c>
      <c r="D20" s="55" t="s">
        <v>23</v>
      </c>
      <c r="E20" s="53" t="str">
        <f t="shared" si="1"/>
        <v>Senophat Benjamin@gmail.com</v>
      </c>
    </row>
    <row r="21" spans="2:5" ht="19.95" customHeight="1">
      <c r="B21" s="53" t="s">
        <v>52</v>
      </c>
      <c r="C21" s="55" t="s">
        <v>27</v>
      </c>
      <c r="D21" s="55" t="s">
        <v>26</v>
      </c>
      <c r="E21" s="53" t="str">
        <f t="shared" si="1"/>
        <v>Magalie Harold@gmail.com</v>
      </c>
    </row>
    <row r="22" spans="2:5" ht="19.95" customHeight="1">
      <c r="B22" s="53" t="s">
        <v>53</v>
      </c>
      <c r="C22" s="55" t="s">
        <v>30</v>
      </c>
      <c r="D22" s="55" t="s">
        <v>29</v>
      </c>
      <c r="E22" s="53" t="str">
        <f t="shared" si="1"/>
        <v>Laurianne Fleur@gmail.com</v>
      </c>
    </row>
    <row r="23" spans="2:5" ht="19.95" customHeight="1">
      <c r="B23" s="53" t="s">
        <v>54</v>
      </c>
      <c r="C23" s="55" t="s">
        <v>33</v>
      </c>
      <c r="D23" s="55" t="s">
        <v>32</v>
      </c>
      <c r="E23" s="53" t="str">
        <f t="shared" si="1"/>
        <v>Dieuper Boudam@gmail.com</v>
      </c>
    </row>
    <row r="24" spans="2:5" ht="19.95" customHeight="1">
      <c r="B24" s="53" t="s">
        <v>55</v>
      </c>
      <c r="C24" s="55" t="s">
        <v>36</v>
      </c>
      <c r="D24" s="54" t="s">
        <v>35</v>
      </c>
      <c r="E24" s="53" t="str">
        <f t="shared" si="1"/>
        <v>Andreas Pierre@gmail.com</v>
      </c>
    </row>
    <row r="25" spans="2:5" ht="19.95" customHeight="1">
      <c r="B25" s="53" t="s">
        <v>56</v>
      </c>
      <c r="C25" s="55" t="s">
        <v>39</v>
      </c>
      <c r="D25" s="55" t="s">
        <v>38</v>
      </c>
      <c r="E25" s="53" t="str">
        <f t="shared" si="1"/>
        <v>Mathias Mueller@gmail.com</v>
      </c>
    </row>
    <row r="26" spans="2:5" ht="19.95" customHeight="1">
      <c r="B26" s="53" t="s">
        <v>57</v>
      </c>
      <c r="C26" s="55" t="s">
        <v>42</v>
      </c>
      <c r="D26" s="55" t="s">
        <v>41</v>
      </c>
      <c r="E26" s="53" t="str">
        <f t="shared" si="1"/>
        <v>Daniel Alexandre@gmail.com</v>
      </c>
    </row>
    <row r="27" spans="2:5" ht="19.95" customHeight="1">
      <c r="B27" s="53" t="s">
        <v>58</v>
      </c>
      <c r="C27" s="55" t="s">
        <v>45</v>
      </c>
      <c r="D27" s="55" t="s">
        <v>44</v>
      </c>
      <c r="E27" s="53" t="str">
        <f t="shared" si="1"/>
        <v>Raymond Dupiton@gmail.com</v>
      </c>
    </row>
    <row r="28" spans="2:5" ht="19.95" customHeight="1">
      <c r="B28" s="53" t="s">
        <v>59</v>
      </c>
      <c r="C28" s="55" t="s">
        <v>39</v>
      </c>
      <c r="D28" s="55" t="s">
        <v>47</v>
      </c>
      <c r="E28" s="53" t="str">
        <f t="shared" si="1"/>
        <v>Jean Jacques@gmail.com</v>
      </c>
    </row>
    <row r="29" spans="2:5" ht="19.95" customHeight="1">
      <c r="B29" s="53" t="s">
        <v>60</v>
      </c>
      <c r="C29" s="55" t="s">
        <v>42</v>
      </c>
      <c r="D29" s="55" t="s">
        <v>41</v>
      </c>
      <c r="E29" s="53" t="str">
        <f t="shared" si="1"/>
        <v>Monique Pierre@gmail.com</v>
      </c>
    </row>
    <row r="30" spans="2:5" ht="16.8">
      <c r="B30" s="53" t="s">
        <v>61</v>
      </c>
      <c r="C30" s="55" t="s">
        <v>45</v>
      </c>
      <c r="D30" s="55" t="s">
        <v>44</v>
      </c>
      <c r="E30" s="53" t="str">
        <f t="shared" si="1"/>
        <v>Gérard Monrosty@gmail.com</v>
      </c>
    </row>
    <row r="31" spans="2:5" ht="16.8">
      <c r="B31" s="53" t="s">
        <v>62</v>
      </c>
      <c r="C31" s="55" t="s">
        <v>39</v>
      </c>
      <c r="D31" s="55" t="s">
        <v>47</v>
      </c>
      <c r="E31" s="53" t="str">
        <f t="shared" si="1"/>
        <v>Richard Risler@gmail.com</v>
      </c>
    </row>
    <row r="32" spans="2:5" ht="16.8">
      <c r="B32" s="53" t="s">
        <v>63</v>
      </c>
      <c r="C32" s="55" t="s">
        <v>36</v>
      </c>
      <c r="D32" s="54" t="s">
        <v>35</v>
      </c>
      <c r="E32" s="53" t="str">
        <f t="shared" si="1"/>
        <v>Emmanuel Collin@gmail.com</v>
      </c>
    </row>
    <row r="33" spans="2:5" ht="16.8">
      <c r="B33" s="54" t="s">
        <v>65</v>
      </c>
      <c r="C33" s="56" t="s">
        <v>177</v>
      </c>
      <c r="D33" s="54" t="s">
        <v>83</v>
      </c>
      <c r="E33" s="58" t="s">
        <v>174</v>
      </c>
    </row>
    <row r="34" spans="2:5" ht="16.8">
      <c r="B34" s="54" t="s">
        <v>85</v>
      </c>
      <c r="C34" s="55" t="s">
        <v>167</v>
      </c>
      <c r="D34" s="55" t="s">
        <v>170</v>
      </c>
      <c r="E34" s="53" t="str">
        <f t="shared" ref="E34:E37" si="2">B34&amp;"@gmail.com"</f>
        <v>MainPro @gmail.com</v>
      </c>
    </row>
    <row r="35" spans="2:5" ht="16.8">
      <c r="B35" s="54" t="s">
        <v>86</v>
      </c>
      <c r="C35" s="55" t="s">
        <v>168</v>
      </c>
      <c r="D35" s="55" t="s">
        <v>171</v>
      </c>
      <c r="E35" s="53" t="str">
        <f t="shared" si="2"/>
        <v>TransExpress @gmail.com</v>
      </c>
    </row>
    <row r="36" spans="2:5" ht="16.8">
      <c r="B36" s="54" t="s">
        <v>87</v>
      </c>
      <c r="C36" s="55" t="s">
        <v>169</v>
      </c>
      <c r="D36" s="54" t="s">
        <v>172</v>
      </c>
      <c r="E36" s="53" t="str">
        <f t="shared" si="2"/>
        <v>FixIt @gmail.com</v>
      </c>
    </row>
    <row r="37" spans="2:5" ht="16.8">
      <c r="B37" s="54" t="s">
        <v>93</v>
      </c>
      <c r="C37" s="56">
        <v>669513636</v>
      </c>
      <c r="D37" s="54" t="s">
        <v>173</v>
      </c>
      <c r="E37" s="53" t="str">
        <f t="shared" si="2"/>
        <v>MainTech @gmail.com</v>
      </c>
    </row>
    <row r="38" spans="2:5" ht="16.8">
      <c r="B38" s="54" t="s">
        <v>88</v>
      </c>
      <c r="C38" s="55" t="s">
        <v>178</v>
      </c>
      <c r="D38" s="59" t="s">
        <v>20</v>
      </c>
      <c r="E38" s="59" t="s">
        <v>186</v>
      </c>
    </row>
    <row r="39" spans="2:5" ht="16.8">
      <c r="B39" s="54" t="s">
        <v>89</v>
      </c>
      <c r="C39" s="55" t="s">
        <v>179</v>
      </c>
      <c r="D39" s="60" t="s">
        <v>23</v>
      </c>
      <c r="E39" s="59" t="s">
        <v>187</v>
      </c>
    </row>
    <row r="40" spans="2:5" ht="16.8">
      <c r="B40" s="54" t="s">
        <v>90</v>
      </c>
      <c r="C40" s="55" t="s">
        <v>180</v>
      </c>
      <c r="D40" s="59" t="s">
        <v>26</v>
      </c>
      <c r="E40" s="59" t="s">
        <v>188</v>
      </c>
    </row>
    <row r="41" spans="2:5" ht="16.8">
      <c r="B41" s="54" t="s">
        <v>91</v>
      </c>
      <c r="C41" s="57">
        <v>677498547</v>
      </c>
      <c r="D41" s="59" t="s">
        <v>29</v>
      </c>
      <c r="E41" s="59" t="s">
        <v>189</v>
      </c>
    </row>
    <row r="42" spans="2:5" ht="16.8">
      <c r="B42" s="54" t="s">
        <v>92</v>
      </c>
      <c r="C42" s="57">
        <v>677491452</v>
      </c>
      <c r="D42" s="59" t="s">
        <v>32</v>
      </c>
      <c r="E42" s="59" t="s">
        <v>190</v>
      </c>
    </row>
    <row r="43" spans="2:5" ht="16.8">
      <c r="B43" s="54" t="s">
        <v>94</v>
      </c>
      <c r="C43" s="57">
        <v>677491014</v>
      </c>
      <c r="D43" s="59" t="s">
        <v>35</v>
      </c>
      <c r="E43" s="59" t="s">
        <v>191</v>
      </c>
    </row>
    <row r="44" spans="2:5" ht="16.8">
      <c r="B44" s="54" t="s">
        <v>95</v>
      </c>
      <c r="C44" s="55" t="s">
        <v>181</v>
      </c>
      <c r="D44" s="59" t="s">
        <v>47</v>
      </c>
      <c r="E44" s="59" t="s">
        <v>192</v>
      </c>
    </row>
    <row r="45" spans="2:5" ht="16.8">
      <c r="B45" s="54" t="s">
        <v>96</v>
      </c>
      <c r="C45" s="57">
        <v>677490014</v>
      </c>
      <c r="D45" s="59" t="s">
        <v>49</v>
      </c>
      <c r="E45" s="59" t="s">
        <v>193</v>
      </c>
    </row>
    <row r="46" spans="2:5" ht="16.8">
      <c r="B46" s="54" t="s">
        <v>97</v>
      </c>
      <c r="C46" s="55" t="s">
        <v>182</v>
      </c>
      <c r="D46" s="59" t="s">
        <v>23</v>
      </c>
      <c r="E46" s="59" t="s">
        <v>194</v>
      </c>
    </row>
    <row r="47" spans="2:5" ht="16.8">
      <c r="B47" s="54" t="s">
        <v>98</v>
      </c>
      <c r="C47" s="55" t="s">
        <v>183</v>
      </c>
      <c r="D47" s="59" t="s">
        <v>26</v>
      </c>
      <c r="E47" s="59" t="s">
        <v>195</v>
      </c>
    </row>
    <row r="48" spans="2:5" ht="16.8">
      <c r="B48" s="54" t="s">
        <v>99</v>
      </c>
      <c r="C48" s="55" t="s">
        <v>184</v>
      </c>
      <c r="D48" s="59" t="s">
        <v>185</v>
      </c>
      <c r="E48" s="59" t="s">
        <v>196</v>
      </c>
    </row>
  </sheetData>
  <phoneticPr fontId="10" type="noConversion"/>
  <hyperlinks>
    <hyperlink ref="E38" r:id="rId1" display="mailto:tech.electro@mail.com" xr:uid="{22665DCD-24DC-4256-98DF-CC5CBE1C544F}"/>
    <hyperlink ref="E39" r:id="rId2" display="mailto:electro.tech@mail.com" xr:uid="{5167A777-94AD-4735-A3A9-30AC2E785266}"/>
    <hyperlink ref="E40" r:id="rId3" display="mailto:electronova@mail.com" xr:uid="{F68D9D1A-F85E-4C58-BF09-EC934307540C}"/>
    <hyperlink ref="E41" r:id="rId4" display="mailto:electroplus@mail.com" xr:uid="{8F1851B6-692D-48AE-980A-0D1C8B85C6ED}"/>
    <hyperlink ref="E42" r:id="rId5" display="mailto:techpro@mail.com" xr:uid="{4FC39B68-DE15-4A6A-A7D1-9C606D2732A8}"/>
    <hyperlink ref="E43" r:id="rId6" display="mailto:infotech@mail.com" xr:uid="{7AFE5816-52BD-48F5-B773-345D8DAF0986}"/>
    <hyperlink ref="E44" r:id="rId7" display="mailto:innosoft@mail.com" xr:uid="{86E91CA4-29AC-4E9D-A46B-0E7C1653DFE1}"/>
    <hyperlink ref="E45" r:id="rId8" display="mailto:cybertech@mail.com" xr:uid="{169992C1-CB76-4DD2-9672-A0EC10F803C2}"/>
    <hyperlink ref="E46" r:id="rId9" display="mailto:transline@mail.com" xr:uid="{974C2654-B0F3-4F29-9054-13FD27F5B29B}"/>
    <hyperlink ref="E47" r:id="rId10" display="mailto:logimove@mail.com" xr:uid="{3753E6D3-74CB-442C-A393-C98E55DF5AFD}"/>
    <hyperlink ref="E48" r:id="rId11" display="mailto:transexpress@mail.com" xr:uid="{DC31FB63-279A-482E-9F6D-90CFC810D8FE}"/>
    <hyperlink ref="E33" r:id="rId12" xr:uid="{3398A057-8D25-46EE-AB2D-6B7DAA08E0A2}"/>
  </hyperlinks>
  <pageMargins left="0.7" right="0.7" top="0.75" bottom="0.75" header="0.3" footer="0.3"/>
  <drawing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608E3-F375-4CBE-942B-1DCA968BA63F}">
  <sheetPr codeName="Feuil1"/>
  <dimension ref="B1:O1191"/>
  <sheetViews>
    <sheetView showGridLines="0" tabSelected="1" zoomScale="68" workbookViewId="0">
      <selection activeCell="R33" sqref="R33"/>
    </sheetView>
  </sheetViews>
  <sheetFormatPr baseColWidth="10" defaultRowHeight="14.4"/>
  <cols>
    <col min="1" max="1" width="15.44140625" style="6" customWidth="1"/>
    <col min="2" max="2" width="6.5546875" style="9" customWidth="1"/>
    <col min="3" max="3" width="19.88671875" style="64" customWidth="1"/>
    <col min="4" max="4" width="22.33203125" style="6" customWidth="1"/>
    <col min="5" max="5" width="18.33203125" style="6" customWidth="1"/>
    <col min="6" max="6" width="23.88671875" style="24" customWidth="1"/>
    <col min="7" max="7" width="23.6640625" style="28" customWidth="1"/>
    <col min="8" max="8" width="23.21875" style="21" customWidth="1"/>
    <col min="9" max="9" width="17.44140625" style="28" customWidth="1"/>
    <col min="10" max="10" width="13.77734375" style="7" customWidth="1"/>
    <col min="11" max="11" width="11.5546875" style="6"/>
    <col min="12" max="12" width="16.33203125" style="6" customWidth="1"/>
    <col min="13" max="13" width="26.33203125" style="6" customWidth="1"/>
    <col min="14" max="14" width="11.5546875" style="9"/>
    <col min="15" max="15" width="14.109375" style="6" bestFit="1" customWidth="1"/>
    <col min="16" max="16384" width="11.5546875" style="6"/>
  </cols>
  <sheetData>
    <row r="1" spans="2:14">
      <c r="B1" s="6"/>
      <c r="N1" s="6"/>
    </row>
    <row r="2" spans="2:14">
      <c r="C2" s="65"/>
      <c r="D2" s="9"/>
      <c r="E2" s="9"/>
      <c r="F2" s="12"/>
      <c r="G2" s="27"/>
      <c r="H2" s="20"/>
      <c r="I2" s="27"/>
      <c r="J2" s="16"/>
      <c r="K2" s="9"/>
      <c r="L2" s="9"/>
      <c r="M2" s="9"/>
    </row>
    <row r="3" spans="2:14">
      <c r="C3" s="65"/>
      <c r="D3" s="9"/>
      <c r="E3" s="9"/>
      <c r="F3" s="12"/>
      <c r="G3" s="27"/>
      <c r="H3" s="20"/>
      <c r="I3" s="27"/>
      <c r="J3" s="16"/>
      <c r="K3" s="9"/>
      <c r="L3" s="9"/>
      <c r="M3" s="9"/>
    </row>
    <row r="4" spans="2:14">
      <c r="C4" s="65"/>
      <c r="D4" s="9"/>
      <c r="E4" s="9"/>
      <c r="F4" s="12"/>
      <c r="G4" s="27"/>
      <c r="H4" s="20"/>
      <c r="I4" s="27"/>
      <c r="J4" s="16"/>
      <c r="K4" s="9"/>
      <c r="L4" s="9"/>
      <c r="M4" s="9"/>
    </row>
    <row r="5" spans="2:14" ht="19.2">
      <c r="C5" s="69" t="s">
        <v>1</v>
      </c>
      <c r="D5" s="70"/>
      <c r="E5" s="9"/>
      <c r="F5" s="12"/>
      <c r="G5" s="27"/>
      <c r="H5" s="20"/>
      <c r="I5" s="27"/>
      <c r="J5" s="16"/>
      <c r="K5" s="9"/>
      <c r="L5" s="9"/>
      <c r="M5" s="9"/>
    </row>
    <row r="6" spans="2:14">
      <c r="C6" s="71" t="s">
        <v>0</v>
      </c>
      <c r="D6" s="72"/>
      <c r="E6" s="72"/>
      <c r="F6" s="72"/>
      <c r="G6" s="27"/>
      <c r="H6" s="20"/>
      <c r="I6" s="27"/>
      <c r="J6" s="16"/>
      <c r="K6" s="9"/>
      <c r="L6" s="9"/>
      <c r="M6" s="9"/>
    </row>
    <row r="7" spans="2:14">
      <c r="C7" s="66"/>
      <c r="D7" s="10"/>
      <c r="E7" s="10"/>
      <c r="F7" s="25"/>
      <c r="G7" s="27"/>
      <c r="H7" s="20"/>
      <c r="I7" s="27"/>
      <c r="J7" s="16"/>
      <c r="K7" s="9"/>
      <c r="L7" s="9"/>
      <c r="M7" s="9"/>
    </row>
    <row r="8" spans="2:14" ht="15.6" customHeight="1">
      <c r="C8" s="67" t="s">
        <v>2</v>
      </c>
      <c r="D8" s="61"/>
      <c r="E8" s="37" t="s">
        <v>3</v>
      </c>
      <c r="F8" s="41"/>
      <c r="G8" s="44"/>
      <c r="H8" s="30" t="s">
        <v>6</v>
      </c>
      <c r="I8" s="39"/>
      <c r="J8" s="36"/>
      <c r="K8" s="9"/>
      <c r="L8" s="9"/>
      <c r="M8" s="9"/>
    </row>
    <row r="9" spans="2:14" ht="15.6">
      <c r="C9" s="67" t="s">
        <v>4</v>
      </c>
      <c r="D9" s="38"/>
      <c r="E9" s="37" t="s">
        <v>5</v>
      </c>
      <c r="F9" s="39"/>
      <c r="G9" s="44"/>
      <c r="H9" s="22"/>
      <c r="I9" s="43"/>
      <c r="J9" s="16"/>
      <c r="K9" s="9"/>
      <c r="L9" s="9"/>
      <c r="M9" s="9"/>
    </row>
    <row r="10" spans="2:14">
      <c r="C10" s="65"/>
      <c r="D10" s="42"/>
      <c r="E10" s="9"/>
      <c r="F10" s="40"/>
      <c r="G10" s="27"/>
      <c r="H10" s="20"/>
      <c r="I10" s="27"/>
      <c r="J10" s="16"/>
      <c r="K10" s="9"/>
      <c r="L10" s="9"/>
      <c r="M10" s="9"/>
    </row>
    <row r="11" spans="2:14" ht="19.2">
      <c r="C11" s="73" t="s">
        <v>7</v>
      </c>
      <c r="D11" s="74"/>
      <c r="E11" s="9"/>
      <c r="F11" s="12"/>
      <c r="G11" s="27"/>
      <c r="H11" s="20"/>
      <c r="I11" s="27"/>
      <c r="J11" s="16"/>
      <c r="K11" s="9"/>
      <c r="L11" s="9"/>
      <c r="M11" s="9"/>
    </row>
    <row r="12" spans="2:14" s="17" customFormat="1" ht="18" customHeight="1">
      <c r="B12" s="18"/>
      <c r="C12" s="68" t="s">
        <v>2</v>
      </c>
      <c r="D12" s="52" t="s">
        <v>3</v>
      </c>
      <c r="E12" s="50" t="s">
        <v>6</v>
      </c>
      <c r="F12" s="50" t="s">
        <v>8</v>
      </c>
      <c r="G12" s="51" t="s">
        <v>9</v>
      </c>
      <c r="H12" s="51" t="s">
        <v>10</v>
      </c>
      <c r="I12" s="68" t="s">
        <v>11</v>
      </c>
      <c r="J12" s="52" t="s">
        <v>12</v>
      </c>
      <c r="K12" s="50" t="s">
        <v>13</v>
      </c>
      <c r="L12" s="50" t="s">
        <v>14</v>
      </c>
      <c r="M12" s="51" t="s">
        <v>15</v>
      </c>
      <c r="N12" s="18"/>
    </row>
    <row r="13" spans="2:14" s="17" customFormat="1" ht="18" hidden="1" customHeight="1">
      <c r="B13" s="18"/>
      <c r="C13" s="68" t="s">
        <v>222</v>
      </c>
      <c r="D13" s="52">
        <v>45708</v>
      </c>
      <c r="E13" s="50" t="s">
        <v>65</v>
      </c>
      <c r="F13" s="50">
        <v>30</v>
      </c>
      <c r="G13" s="51">
        <v>30000</v>
      </c>
      <c r="H13" s="51">
        <f>SUMIF(réglement[N° de facture],listeCreances[[#This Row],[N° de facture]],réglement[Montant encaissé])</f>
        <v>0</v>
      </c>
      <c r="I13" s="68">
        <f>listeCreances[[#This Row],[Montant facturé]]-listeCreances[[#This Row],[Montant encaissé]]</f>
        <v>30000</v>
      </c>
      <c r="J13" s="52">
        <f>listeCreances[[#This Row],[Date d''émission]]+listeCreances[[#This Row],[Délai de règlement]]</f>
        <v>45738</v>
      </c>
      <c r="K13" s="62">
        <f ca="1">IF(listeCreances[[#This Row],[Solde]]=0,"",TODAY()-J13)</f>
        <v>-27</v>
      </c>
      <c r="L13" s="68" t="str">
        <f ca="1">IF(listeCreances[[#This Row],[Retard]]="","payé",IF(K13&lt;=0,"non échue",IF(K13&lt;=30,"échue[1,30]",IF(K13&lt;=60,"échue[31,60]",IF(K13&lt;=90,"échue[61,90]","échue&gt;90")))))</f>
        <v>non échue</v>
      </c>
      <c r="M13" s="52"/>
      <c r="N13" s="18"/>
    </row>
    <row r="14" spans="2:14" s="17" customFormat="1" ht="18" hidden="1" customHeight="1">
      <c r="B14" s="18"/>
      <c r="C14" s="68" t="s">
        <v>209</v>
      </c>
      <c r="D14" s="52">
        <v>45705</v>
      </c>
      <c r="E14" s="50" t="s">
        <v>28</v>
      </c>
      <c r="F14" s="50">
        <v>10</v>
      </c>
      <c r="G14" s="51">
        <v>8000</v>
      </c>
      <c r="H14" s="51">
        <f>SUMIF(réglement[N° de facture],listeCreances[[#This Row],[N° de facture]],réglement[Montant encaissé])</f>
        <v>0</v>
      </c>
      <c r="I14" s="51">
        <f>listeCreances[[#This Row],[Montant facturé]]-listeCreances[[#This Row],[Montant encaissé]]</f>
        <v>8000</v>
      </c>
      <c r="J14" s="52">
        <f>listeCreances[[#This Row],[Date d''émission]]+listeCreances[[#This Row],[Délai de règlement]]</f>
        <v>45715</v>
      </c>
      <c r="K14" s="50">
        <f ca="1">IF(listeCreances[[#This Row],[Solde]]=0,"",TODAY()-J14)</f>
        <v>-4</v>
      </c>
      <c r="L14" s="50" t="str">
        <f ca="1">IF(listeCreances[[#This Row],[Retard]]="","payé",IF(K14&lt;=0,"non échue",IF(K14&lt;=30,"échue[1,30]",IF(K14&lt;=60,"échue[31,60]",IF(K14&lt;=90,"échue[61,90]","échue&gt;90")))))</f>
        <v>non échue</v>
      </c>
      <c r="M14" s="50"/>
      <c r="N14" s="18"/>
    </row>
    <row r="15" spans="2:14" s="17" customFormat="1" ht="18" hidden="1" customHeight="1">
      <c r="B15" s="18"/>
      <c r="C15" s="68" t="s">
        <v>208</v>
      </c>
      <c r="D15" s="52">
        <v>45703</v>
      </c>
      <c r="E15" s="50" t="s">
        <v>31</v>
      </c>
      <c r="F15" s="50">
        <v>12</v>
      </c>
      <c r="G15" s="51">
        <v>18000</v>
      </c>
      <c r="H15" s="51">
        <f>SUMIF(réglement[N° de facture],listeCreances[[#This Row],[N° de facture]],réglement[Montant encaissé])</f>
        <v>0</v>
      </c>
      <c r="I15" s="51">
        <f>listeCreances[[#This Row],[Montant facturé]]-listeCreances[[#This Row],[Montant encaissé]]</f>
        <v>18000</v>
      </c>
      <c r="J15" s="52">
        <f>listeCreances[[#This Row],[Date d''émission]]+listeCreances[[#This Row],[Délai de règlement]]</f>
        <v>45715</v>
      </c>
      <c r="K15" s="50">
        <f ca="1">IF(listeCreances[[#This Row],[Solde]]=0,"",TODAY()-J15)</f>
        <v>-4</v>
      </c>
      <c r="L15" s="50" t="str">
        <f ca="1">IF(listeCreances[[#This Row],[Retard]]="","payé",IF(K15&lt;=0,"non échue",IF(K15&lt;=30,"échue[1,30]",IF(K15&lt;=60,"échue[31,60]",IF(K15&lt;=90,"échue[61,90]","échue&gt;90")))))</f>
        <v>non échue</v>
      </c>
      <c r="M15" s="50"/>
      <c r="N15" s="18"/>
    </row>
    <row r="16" spans="2:14" s="17" customFormat="1" ht="18" hidden="1" customHeight="1">
      <c r="B16" s="18"/>
      <c r="C16" s="68" t="s">
        <v>207</v>
      </c>
      <c r="D16" s="52">
        <v>45700</v>
      </c>
      <c r="E16" s="50" t="s">
        <v>28</v>
      </c>
      <c r="F16" s="50">
        <v>30</v>
      </c>
      <c r="G16" s="51">
        <v>8000</v>
      </c>
      <c r="H16" s="51">
        <f>SUMIF(réglement[N° de facture],listeCreances[[#This Row],[N° de facture]],réglement[Montant encaissé])</f>
        <v>0</v>
      </c>
      <c r="I16" s="51">
        <f>listeCreances[[#This Row],[Montant facturé]]-listeCreances[[#This Row],[Montant encaissé]]</f>
        <v>8000</v>
      </c>
      <c r="J16" s="52">
        <f>listeCreances[[#This Row],[Date d''émission]]+listeCreances[[#This Row],[Délai de règlement]]</f>
        <v>45730</v>
      </c>
      <c r="K16" s="50">
        <f ca="1">IF(listeCreances[[#This Row],[Solde]]=0,"",TODAY()-J16)</f>
        <v>-19</v>
      </c>
      <c r="L16" s="50" t="str">
        <f ca="1">IF(listeCreances[[#This Row],[Retard]]="","payé",IF(K16&lt;=0,"non échue",IF(K16&lt;=30,"échue[1,30]",IF(K16&lt;=60,"échue[31,60]",IF(K16&lt;=90,"échue[61,90]","échue&gt;90")))))</f>
        <v>non échue</v>
      </c>
      <c r="M16" s="50"/>
      <c r="N16" s="18"/>
    </row>
    <row r="17" spans="2:15" s="17" customFormat="1" ht="18" hidden="1" customHeight="1">
      <c r="B17" s="18"/>
      <c r="C17" s="68" t="s">
        <v>202</v>
      </c>
      <c r="D17" s="52">
        <v>45698</v>
      </c>
      <c r="E17" s="50" t="s">
        <v>99</v>
      </c>
      <c r="F17" s="50">
        <v>18</v>
      </c>
      <c r="G17" s="51">
        <v>15000</v>
      </c>
      <c r="H17" s="51">
        <f>SUMIF(réglement[N° de facture],listeCreances[[#This Row],[N° de facture]],réglement[Montant encaissé])</f>
        <v>0</v>
      </c>
      <c r="I17" s="51">
        <f>listeCreances[[#This Row],[Montant facturé]]-listeCreances[[#This Row],[Montant encaissé]]</f>
        <v>15000</v>
      </c>
      <c r="J17" s="52">
        <f>listeCreances[[#This Row],[Date d''émission]]+listeCreances[[#This Row],[Délai de règlement]]</f>
        <v>45716</v>
      </c>
      <c r="K17" s="50">
        <f ca="1">IF(listeCreances[[#This Row],[Solde]]=0,"",TODAY()-J17)</f>
        <v>-5</v>
      </c>
      <c r="L17" s="50" t="str">
        <f ca="1">IF(listeCreances[[#This Row],[Retard]]="","payé",IF(K17&lt;=0,"non échue",IF(K17&lt;=30,"échue[1,30]",IF(K17&lt;=60,"échue[31,60]",IF(K17&lt;=90,"échue[61,90]","échue&gt;90")))))</f>
        <v>non échue</v>
      </c>
      <c r="M17" s="50"/>
      <c r="N17" s="18"/>
      <c r="O17" s="63"/>
    </row>
    <row r="18" spans="2:15" s="17" customFormat="1" ht="18" customHeight="1">
      <c r="B18" s="18"/>
      <c r="C18" s="68" t="s">
        <v>201</v>
      </c>
      <c r="D18" s="52">
        <v>45695</v>
      </c>
      <c r="E18" s="50" t="s">
        <v>62</v>
      </c>
      <c r="F18" s="50">
        <v>15</v>
      </c>
      <c r="G18" s="51">
        <v>30000</v>
      </c>
      <c r="H18" s="51">
        <f>SUMIF(réglement[N° de facture],listeCreances[[#This Row],[N° de facture]],réglement[Montant encaissé])</f>
        <v>0</v>
      </c>
      <c r="I18" s="51">
        <f>listeCreances[[#This Row],[Montant facturé]]-listeCreances[[#This Row],[Montant encaissé]]</f>
        <v>30000</v>
      </c>
      <c r="J18" s="52">
        <f>listeCreances[[#This Row],[Date d''émission]]+listeCreances[[#This Row],[Délai de règlement]]</f>
        <v>45710</v>
      </c>
      <c r="K18" s="50">
        <f ca="1">IF(listeCreances[[#This Row],[Solde]]=0,"",TODAY()-J18)</f>
        <v>1</v>
      </c>
      <c r="L18" s="50" t="str">
        <f ca="1">IF(listeCreances[[#This Row],[Retard]]="","payé",IF(K18&lt;=0,"non échue",IF(K18&lt;=30,"échue[1,30]",IF(K18&lt;=60,"échue[31,60]",IF(K18&lt;=90,"échue[61,90]","échue&gt;90")))))</f>
        <v>échue[1,30]</v>
      </c>
      <c r="M18" s="50"/>
      <c r="N18" s="18"/>
    </row>
    <row r="19" spans="2:15" s="17" customFormat="1" ht="18" customHeight="1">
      <c r="B19" s="18"/>
      <c r="C19" s="68" t="s">
        <v>200</v>
      </c>
      <c r="D19" s="52">
        <v>45691</v>
      </c>
      <c r="E19" s="50" t="s">
        <v>34</v>
      </c>
      <c r="F19" s="50">
        <v>10</v>
      </c>
      <c r="G19" s="51">
        <v>10000</v>
      </c>
      <c r="H19" s="51">
        <f>SUMIF(réglement[N° de facture],listeCreances[[#This Row],[N° de facture]],réglement[Montant encaissé])</f>
        <v>5000</v>
      </c>
      <c r="I19" s="51">
        <f>listeCreances[[#This Row],[Montant facturé]]-listeCreances[[#This Row],[Montant encaissé]]</f>
        <v>5000</v>
      </c>
      <c r="J19" s="52">
        <f>listeCreances[[#This Row],[Date d''émission]]+listeCreances[[#This Row],[Délai de règlement]]</f>
        <v>45701</v>
      </c>
      <c r="K19" s="50">
        <f ca="1">IF(listeCreances[[#This Row],[Solde]]=0,"",TODAY()-J19)</f>
        <v>10</v>
      </c>
      <c r="L19" s="50" t="str">
        <f ca="1">IF(listeCreances[[#This Row],[Retard]]="","payé",IF(K19&lt;=0,"non échue",IF(K19&lt;=30,"échue[1,30]",IF(K19&lt;=60,"échue[31,60]",IF(K19&lt;=90,"échue[61,90]","échue&gt;90")))))</f>
        <v>échue[1,30]</v>
      </c>
      <c r="M19" s="50"/>
      <c r="N19" s="18"/>
    </row>
    <row r="20" spans="2:15" s="17" customFormat="1" ht="18" hidden="1" customHeight="1">
      <c r="B20" s="18"/>
      <c r="C20" s="68" t="s">
        <v>199</v>
      </c>
      <c r="D20" s="52">
        <v>45687</v>
      </c>
      <c r="E20" s="50" t="s">
        <v>34</v>
      </c>
      <c r="F20" s="50">
        <v>25</v>
      </c>
      <c r="G20" s="51">
        <v>12000</v>
      </c>
      <c r="H20" s="51">
        <f>SUMIF(réglement[N° de facture],listeCreances[[#This Row],[N° de facture]],réglement[Montant encaissé])</f>
        <v>6000</v>
      </c>
      <c r="I20" s="51">
        <f>listeCreances[[#This Row],[Montant facturé]]-listeCreances[[#This Row],[Montant encaissé]]</f>
        <v>6000</v>
      </c>
      <c r="J20" s="52">
        <f>listeCreances[[#This Row],[Date d''émission]]+listeCreances[[#This Row],[Délai de règlement]]</f>
        <v>45712</v>
      </c>
      <c r="K20" s="50">
        <f ca="1">IF(listeCreances[[#This Row],[Solde]]=0,"",TODAY()-J20)</f>
        <v>-1</v>
      </c>
      <c r="L20" s="50" t="str">
        <f ca="1">IF(listeCreances[[#This Row],[Retard]]="","payé",IF(K20&lt;=0,"non échue",IF(K20&lt;=30,"échue[1,30]",IF(K20&lt;=60,"échue[31,60]",IF(K20&lt;=90,"échue[61,90]","échue&gt;90")))))</f>
        <v>non échue</v>
      </c>
      <c r="M20" s="50"/>
      <c r="N20" s="18"/>
    </row>
    <row r="21" spans="2:15" s="17" customFormat="1" ht="18" customHeight="1">
      <c r="B21" s="18"/>
      <c r="C21" s="68" t="s">
        <v>198</v>
      </c>
      <c r="D21" s="52">
        <v>45683</v>
      </c>
      <c r="E21" s="50" t="s">
        <v>93</v>
      </c>
      <c r="F21" s="50">
        <v>20</v>
      </c>
      <c r="G21" s="51">
        <v>15000</v>
      </c>
      <c r="H21" s="51">
        <f>SUMIF(réglement[N° de facture],listeCreances[[#This Row],[N° de facture]],réglement[Montant encaissé])</f>
        <v>10000</v>
      </c>
      <c r="I21" s="51">
        <f>listeCreances[[#This Row],[Montant facturé]]-listeCreances[[#This Row],[Montant encaissé]]</f>
        <v>5000</v>
      </c>
      <c r="J21" s="52">
        <f>listeCreances[[#This Row],[Date d''émission]]+listeCreances[[#This Row],[Délai de règlement]]</f>
        <v>45703</v>
      </c>
      <c r="K21" s="50">
        <f ca="1">IF(listeCreances[[#This Row],[Solde]]=0,"",TODAY()-J21)</f>
        <v>8</v>
      </c>
      <c r="L21" s="50" t="str">
        <f ca="1">IF(listeCreances[[#This Row],[Retard]]="","payé",IF(K21&lt;=0,"non échue",IF(K21&lt;=30,"échue[1,30]",IF(K21&lt;=60,"échue[31,60]",IF(K21&lt;=90,"échue[61,90]","échue&gt;90")))))</f>
        <v>échue[1,30]</v>
      </c>
      <c r="M21" s="50"/>
      <c r="N21" s="18"/>
    </row>
    <row r="22" spans="2:15" s="17" customFormat="1" ht="18" customHeight="1">
      <c r="B22" s="18"/>
      <c r="C22" s="68" t="s">
        <v>197</v>
      </c>
      <c r="D22" s="52">
        <v>45679</v>
      </c>
      <c r="E22" s="50" t="s">
        <v>34</v>
      </c>
      <c r="F22" s="50">
        <v>10</v>
      </c>
      <c r="G22" s="51">
        <v>30000</v>
      </c>
      <c r="H22" s="51">
        <f>SUMIF(réglement[N° de facture],listeCreances[[#This Row],[N° de facture]],réglement[Montant encaissé])</f>
        <v>29500</v>
      </c>
      <c r="I22" s="51">
        <f>listeCreances[[#This Row],[Montant facturé]]-listeCreances[[#This Row],[Montant encaissé]]</f>
        <v>500</v>
      </c>
      <c r="J22" s="52">
        <f>listeCreances[[#This Row],[Date d''émission]]+listeCreances[[#This Row],[Délai de règlement]]</f>
        <v>45689</v>
      </c>
      <c r="K22" s="50">
        <f ca="1">IF(listeCreances[[#This Row],[Solde]]=0,"",TODAY()-J22)</f>
        <v>22</v>
      </c>
      <c r="L22" s="50" t="str">
        <f ca="1">IF(listeCreances[[#This Row],[Retard]]="","payé",IF(K22&lt;=0,"non échue",IF(K22&lt;=30,"échue[1,30]",IF(K22&lt;=60,"échue[31,60]",IF(K22&lt;=90,"échue[61,90]","échue&gt;90")))))</f>
        <v>échue[1,30]</v>
      </c>
      <c r="M22" s="50"/>
      <c r="N22" s="18"/>
    </row>
    <row r="23" spans="2:15" s="17" customFormat="1" ht="18" hidden="1" customHeight="1">
      <c r="B23" s="18"/>
      <c r="C23" s="68" t="s">
        <v>202</v>
      </c>
      <c r="D23" s="52">
        <v>45699</v>
      </c>
      <c r="E23" s="50" t="s">
        <v>99</v>
      </c>
      <c r="F23" s="50">
        <v>30</v>
      </c>
      <c r="G23" s="51">
        <v>7000</v>
      </c>
      <c r="H23" s="51">
        <f>SUMIF(réglement[N° de facture],listeCreances[[#This Row],[N° de facture]],réglement[Montant encaissé])</f>
        <v>0</v>
      </c>
      <c r="I23" s="51">
        <f>listeCreances[[#This Row],[Montant facturé]]-listeCreances[[#This Row],[Montant encaissé]]</f>
        <v>7000</v>
      </c>
      <c r="J23" s="52">
        <f>listeCreances[[#This Row],[Date d''émission]]+listeCreances[[#This Row],[Délai de règlement]]</f>
        <v>45729</v>
      </c>
      <c r="K23" s="50">
        <f ca="1">IF(listeCreances[[#This Row],[Solde]]=0,"",TODAY()-J23)</f>
        <v>-18</v>
      </c>
      <c r="L23" s="50" t="str">
        <f ca="1">IF(listeCreances[[#This Row],[Retard]]="","payé",IF(K23&lt;=0,"non échue",IF(K23&lt;=30,"échue[1,30]",IF(K23&lt;=60,"échue[31,60]",IF(K23&lt;=90,"échue[61,90]","échue&gt;90")))))</f>
        <v>non échue</v>
      </c>
      <c r="M23" s="50"/>
      <c r="N23" s="18"/>
    </row>
    <row r="24" spans="2:15" s="17" customFormat="1" ht="18" hidden="1" customHeight="1">
      <c r="B24" s="18"/>
      <c r="C24" s="68" t="s">
        <v>201</v>
      </c>
      <c r="D24" s="52">
        <v>45698</v>
      </c>
      <c r="E24" s="50" t="s">
        <v>87</v>
      </c>
      <c r="F24" s="50">
        <v>25</v>
      </c>
      <c r="G24" s="51">
        <v>15000</v>
      </c>
      <c r="H24" s="51">
        <f>SUMIF(réglement[N° de facture],listeCreances[[#This Row],[N° de facture]],réglement[Montant encaissé])</f>
        <v>0</v>
      </c>
      <c r="I24" s="51">
        <f>listeCreances[[#This Row],[Montant facturé]]-listeCreances[[#This Row],[Montant encaissé]]</f>
        <v>15000</v>
      </c>
      <c r="J24" s="52">
        <f>listeCreances[[#This Row],[Date d''émission]]+listeCreances[[#This Row],[Délai de règlement]]</f>
        <v>45723</v>
      </c>
      <c r="K24" s="50">
        <f ca="1">IF(listeCreances[[#This Row],[Solde]]=0,"",TODAY()-J24)</f>
        <v>-12</v>
      </c>
      <c r="L24" s="50" t="str">
        <f ca="1">IF(listeCreances[[#This Row],[Retard]]="","payé",IF(K24&lt;=0,"non échue",IF(K24&lt;=30,"échue[1,30]",IF(K24&lt;=60,"échue[31,60]",IF(K24&lt;=90,"échue[61,90]","échue&gt;90")))))</f>
        <v>non échue</v>
      </c>
      <c r="M24" s="50"/>
      <c r="N24" s="18"/>
    </row>
    <row r="25" spans="2:15" s="17" customFormat="1" ht="18" hidden="1" customHeight="1">
      <c r="B25" s="18"/>
      <c r="C25" s="68" t="s">
        <v>200</v>
      </c>
      <c r="D25" s="52">
        <v>45693</v>
      </c>
      <c r="E25" s="50" t="s">
        <v>56</v>
      </c>
      <c r="F25" s="50">
        <v>30</v>
      </c>
      <c r="G25" s="51">
        <v>9000</v>
      </c>
      <c r="H25" s="51">
        <f>SUMIF(réglement[N° de facture],listeCreances[[#This Row],[N° de facture]],réglement[Montant encaissé])</f>
        <v>5000</v>
      </c>
      <c r="I25" s="51">
        <f>listeCreances[[#This Row],[Montant facturé]]-listeCreances[[#This Row],[Montant encaissé]]</f>
        <v>4000</v>
      </c>
      <c r="J25" s="52">
        <f>listeCreances[[#This Row],[Date d''émission]]+listeCreances[[#This Row],[Délai de règlement]]</f>
        <v>45723</v>
      </c>
      <c r="K25" s="50">
        <f ca="1">IF(listeCreances[[#This Row],[Solde]]=0,"",TODAY()-J25)</f>
        <v>-12</v>
      </c>
      <c r="L25" s="50" t="str">
        <f ca="1">IF(listeCreances[[#This Row],[Retard]]="","payé",IF(K25&lt;=0,"non échue",IF(K25&lt;=30,"échue[1,30]",IF(K25&lt;=60,"échue[31,60]",IF(K25&lt;=90,"échue[61,90]","échue&gt;90")))))</f>
        <v>non échue</v>
      </c>
      <c r="M25" s="50"/>
      <c r="N25" s="18"/>
    </row>
    <row r="26" spans="2:15" s="17" customFormat="1" ht="18" hidden="1" customHeight="1">
      <c r="B26" s="18"/>
      <c r="C26" s="68" t="s">
        <v>199</v>
      </c>
      <c r="D26" s="52">
        <v>45689</v>
      </c>
      <c r="E26" s="50" t="s">
        <v>37</v>
      </c>
      <c r="F26" s="50">
        <v>20</v>
      </c>
      <c r="G26" s="51">
        <v>6000</v>
      </c>
      <c r="H26" s="51">
        <f>SUMIF(réglement[N° de facture],listeCreances[[#This Row],[N° de facture]],réglement[Montant encaissé])</f>
        <v>6000</v>
      </c>
      <c r="I26" s="51">
        <f>listeCreances[[#This Row],[Montant facturé]]-listeCreances[[#This Row],[Montant encaissé]]</f>
        <v>0</v>
      </c>
      <c r="J26" s="52">
        <f>listeCreances[[#This Row],[Date d''émission]]+listeCreances[[#This Row],[Délai de règlement]]</f>
        <v>45709</v>
      </c>
      <c r="K26" s="50" t="str">
        <f ca="1">IF(listeCreances[[#This Row],[Solde]]=0,"",TODAY()-J26)</f>
        <v/>
      </c>
      <c r="L26" s="50" t="str">
        <f ca="1">IF(listeCreances[[#This Row],[Retard]]="","payé",IF(K26&lt;=0,"non échue",IF(K26&lt;=30,"échue[1,30]",IF(K26&lt;=60,"échue[31,60]",IF(K26&lt;=90,"échue[61,90]","échue&gt;90")))))</f>
        <v>payé</v>
      </c>
      <c r="M26" s="50"/>
      <c r="N26" s="18"/>
    </row>
    <row r="27" spans="2:15" s="17" customFormat="1" ht="18" customHeight="1">
      <c r="B27" s="18"/>
      <c r="C27" s="68" t="s">
        <v>198</v>
      </c>
      <c r="D27" s="52">
        <v>45687</v>
      </c>
      <c r="E27" s="50" t="s">
        <v>31</v>
      </c>
      <c r="F27" s="50">
        <v>20</v>
      </c>
      <c r="G27" s="51">
        <v>10500</v>
      </c>
      <c r="H27" s="51">
        <f>SUMIF(réglement[N° de facture],listeCreances[[#This Row],[N° de facture]],réglement[Montant encaissé])</f>
        <v>10000</v>
      </c>
      <c r="I27" s="51">
        <f>listeCreances[[#This Row],[Montant facturé]]-listeCreances[[#This Row],[Montant encaissé]]</f>
        <v>500</v>
      </c>
      <c r="J27" s="52">
        <f>listeCreances[[#This Row],[Date d''émission]]+listeCreances[[#This Row],[Délai de règlement]]</f>
        <v>45707</v>
      </c>
      <c r="K27" s="50">
        <f ca="1">IF(listeCreances[[#This Row],[Solde]]=0,"",TODAY()-J27)</f>
        <v>4</v>
      </c>
      <c r="L27" s="50" t="str">
        <f ca="1">IF(listeCreances[[#This Row],[Retard]]="","payé",IF(K27&lt;=0,"non échue",IF(K27&lt;=30,"échue[1,30]",IF(K27&lt;=60,"échue[31,60]",IF(K27&lt;=90,"échue[61,90]","échue&gt;90")))))</f>
        <v>échue[1,30]</v>
      </c>
      <c r="M27" s="50"/>
      <c r="N27" s="18"/>
    </row>
    <row r="28" spans="2:15" s="17" customFormat="1" ht="18" hidden="1" customHeight="1">
      <c r="B28" s="18"/>
      <c r="C28" s="68" t="s">
        <v>197</v>
      </c>
      <c r="D28" s="52">
        <v>45685</v>
      </c>
      <c r="E28" s="50" t="s">
        <v>22</v>
      </c>
      <c r="F28" s="50">
        <v>30</v>
      </c>
      <c r="G28" s="51">
        <v>7500</v>
      </c>
      <c r="H28" s="51">
        <f>SUMIF(réglement[N° de facture],listeCreances[[#This Row],[N° de facture]],réglement[Montant encaissé])</f>
        <v>29500</v>
      </c>
      <c r="I28" s="51">
        <f>listeCreances[[#This Row],[Montant facturé]]-listeCreances[[#This Row],[Montant encaissé]]</f>
        <v>-22000</v>
      </c>
      <c r="J28" s="52">
        <f>listeCreances[[#This Row],[Date d''émission]]+listeCreances[[#This Row],[Délai de règlement]]</f>
        <v>45715</v>
      </c>
      <c r="K28" s="50">
        <f ca="1">IF(listeCreances[[#This Row],[Solde]]=0,"",TODAY()-J28)</f>
        <v>-4</v>
      </c>
      <c r="L28" s="50" t="str">
        <f ca="1">IF(listeCreances[[#This Row],[Retard]]="","payé",IF(K28&lt;=0,"non échue",IF(K28&lt;=30,"échue[1,30]",IF(K28&lt;=60,"échue[31,60]",IF(K28&lt;=90,"échue[61,90]","échue&gt;90")))))</f>
        <v>non échue</v>
      </c>
      <c r="M28" s="50"/>
      <c r="N28" s="18"/>
    </row>
    <row r="29" spans="2:15" s="17" customFormat="1" ht="18" customHeight="1">
      <c r="B29" s="18"/>
      <c r="C29" s="68" t="s">
        <v>175</v>
      </c>
      <c r="D29" s="52">
        <v>45674</v>
      </c>
      <c r="E29" s="50" t="s">
        <v>25</v>
      </c>
      <c r="F29" s="50">
        <v>12</v>
      </c>
      <c r="G29" s="51">
        <v>7000</v>
      </c>
      <c r="H29" s="51">
        <f>SUMIF(réglement[N° de facture],listeCreances[[#This Row],[N° de facture]],réglement[Montant encaissé])</f>
        <v>6500</v>
      </c>
      <c r="I29" s="51">
        <f>listeCreances[[#This Row],[Montant facturé]]-listeCreances[[#This Row],[Montant encaissé]]</f>
        <v>500</v>
      </c>
      <c r="J29" s="52">
        <f>listeCreances[[#This Row],[Date d''émission]]+listeCreances[[#This Row],[Délai de règlement]]</f>
        <v>45686</v>
      </c>
      <c r="K29" s="50">
        <f ca="1">IF(listeCreances[[#This Row],[Solde]]=0,"",TODAY()-J29)</f>
        <v>25</v>
      </c>
      <c r="L29" s="50" t="str">
        <f ca="1">IF(listeCreances[[#This Row],[Retard]]="","payé",IF(K29&lt;=0,"non échue",IF(K29&lt;=30,"échue[1,30]",IF(K29&lt;=60,"échue[31,60]",IF(K29&lt;=90,"échue[61,90]","échue&gt;90")))))</f>
        <v>échue[1,30]</v>
      </c>
      <c r="M29" s="50"/>
      <c r="N29" s="18"/>
    </row>
    <row r="30" spans="2:15" s="17" customFormat="1">
      <c r="B30" s="18"/>
      <c r="C30" s="68" t="s">
        <v>165</v>
      </c>
      <c r="D30" s="52">
        <v>45672</v>
      </c>
      <c r="E30" s="50" t="s">
        <v>65</v>
      </c>
      <c r="F30" s="50">
        <v>10</v>
      </c>
      <c r="G30" s="51">
        <v>5000</v>
      </c>
      <c r="H30" s="51">
        <f>SUMIF(réglement[N° de facture],listeCreances[[#This Row],[N° de facture]],réglement[Montant encaissé])</f>
        <v>2500</v>
      </c>
      <c r="I30" s="51">
        <f>listeCreances[[#This Row],[Montant facturé]]-listeCreances[[#This Row],[Montant encaissé]]</f>
        <v>2500</v>
      </c>
      <c r="J30" s="52">
        <f>listeCreances[[#This Row],[Date d''émission]]+listeCreances[[#This Row],[Délai de règlement]]</f>
        <v>45682</v>
      </c>
      <c r="K30" s="50">
        <f ca="1">IF(listeCreances[[#This Row],[Solde]]=0,"",TODAY()-J30)</f>
        <v>29</v>
      </c>
      <c r="L30" s="50" t="str">
        <f ca="1">IF(listeCreances[[#This Row],[Retard]]="","payé",IF(K30&lt;=0,"non échue",IF(K30&lt;=30,"échue[1,30]",IF(K30&lt;=60,"échue[31,60]",IF(K30&lt;=90,"échue[61,90]","échue&gt;90")))))</f>
        <v>échue[1,30]</v>
      </c>
      <c r="M30" s="50"/>
      <c r="N30" s="18"/>
    </row>
    <row r="31" spans="2:15" s="8" customFormat="1">
      <c r="B31" s="13"/>
      <c r="C31" s="68" t="s">
        <v>164</v>
      </c>
      <c r="D31" s="52">
        <v>45653</v>
      </c>
      <c r="E31" s="50" t="s">
        <v>65</v>
      </c>
      <c r="F31" s="50">
        <v>10</v>
      </c>
      <c r="G31" s="51">
        <v>250</v>
      </c>
      <c r="H31" s="51">
        <f>SUMIF(réglement[N° de facture],listeCreances[[#This Row],[N° de facture]],réglement[Montant encaissé])</f>
        <v>0</v>
      </c>
      <c r="I31" s="51">
        <f>listeCreances[[#This Row],[Montant facturé]]-listeCreances[[#This Row],[Montant encaissé]]</f>
        <v>250</v>
      </c>
      <c r="J31" s="52">
        <f>listeCreances[[#This Row],[Date d''émission]]+listeCreances[[#This Row],[Délai de règlement]]</f>
        <v>45663</v>
      </c>
      <c r="K31" s="50">
        <f ca="1">IF(listeCreances[[#This Row],[Solde]]=0,"",TODAY()-J31)</f>
        <v>48</v>
      </c>
      <c r="L31" s="50" t="str">
        <f ca="1">IF(listeCreances[[#This Row],[Retard]]="","payé",IF(K31&lt;=0,"non échue",IF(K31&lt;=30,"échue[1,30]",IF(K31&lt;=60,"échue[31,60]",IF(K31&lt;=90,"échue[61,90]","échue&gt;90")))))</f>
        <v>échue[31,60]</v>
      </c>
      <c r="M31" s="50"/>
      <c r="N31" s="13"/>
    </row>
    <row r="32" spans="2:15" s="8" customFormat="1">
      <c r="B32" s="13"/>
      <c r="C32" s="68" t="s">
        <v>163</v>
      </c>
      <c r="D32" s="52">
        <v>45652</v>
      </c>
      <c r="E32" s="50" t="s">
        <v>59</v>
      </c>
      <c r="F32" s="50">
        <v>30</v>
      </c>
      <c r="G32" s="51">
        <v>500</v>
      </c>
      <c r="H32" s="51">
        <f>SUMIF(réglement[N° de facture],listeCreances[[#This Row],[N° de facture]],réglement[Montant encaissé])</f>
        <v>0</v>
      </c>
      <c r="I32" s="51">
        <f>listeCreances[[#This Row],[Montant facturé]]-listeCreances[[#This Row],[Montant encaissé]]</f>
        <v>500</v>
      </c>
      <c r="J32" s="52">
        <f>listeCreances[[#This Row],[Date d''émission]]+listeCreances[[#This Row],[Délai de règlement]]</f>
        <v>45682</v>
      </c>
      <c r="K32" s="50">
        <f ca="1">IF(listeCreances[[#This Row],[Solde]]=0,"",TODAY()-J32)</f>
        <v>29</v>
      </c>
      <c r="L32" s="50" t="str">
        <f ca="1">IF(listeCreances[[#This Row],[Retard]]="","payé",IF(K32&lt;=0,"non échue",IF(K32&lt;=30,"échue[1,30]",IF(K32&lt;=60,"échue[31,60]",IF(K32&lt;=90,"échue[61,90]","échue&gt;90")))))</f>
        <v>échue[1,30]</v>
      </c>
      <c r="M32" s="50"/>
      <c r="N32" s="13"/>
    </row>
    <row r="33" spans="2:14" s="8" customFormat="1">
      <c r="B33" s="13"/>
      <c r="C33" s="68" t="s">
        <v>162</v>
      </c>
      <c r="D33" s="52">
        <v>45673</v>
      </c>
      <c r="E33" s="50" t="s">
        <v>85</v>
      </c>
      <c r="F33" s="50">
        <v>10</v>
      </c>
      <c r="G33" s="51">
        <v>5000</v>
      </c>
      <c r="H33" s="51">
        <f>SUMIF(réglement[N° de facture],listeCreances[[#This Row],[N° de facture]],réglement[Montant encaissé])</f>
        <v>0</v>
      </c>
      <c r="I33" s="51">
        <f>listeCreances[[#This Row],[Montant facturé]]-listeCreances[[#This Row],[Montant encaissé]]</f>
        <v>5000</v>
      </c>
      <c r="J33" s="52">
        <f>listeCreances[[#This Row],[Date d''émission]]+listeCreances[[#This Row],[Délai de règlement]]</f>
        <v>45683</v>
      </c>
      <c r="K33" s="50">
        <f ca="1">IF(listeCreances[[#This Row],[Solde]]=0,"",TODAY()-J33)</f>
        <v>28</v>
      </c>
      <c r="L33" s="50" t="str">
        <f ca="1">IF(listeCreances[[#This Row],[Retard]]="","payé",IF(K33&lt;=0,"non échue",IF(K33&lt;=30,"échue[1,30]",IF(K33&lt;=60,"échue[31,60]",IF(K33&lt;=90,"échue[61,90]","échue&gt;90")))))</f>
        <v>échue[1,30]</v>
      </c>
      <c r="M33" s="50"/>
      <c r="N33" s="13"/>
    </row>
    <row r="34" spans="2:14">
      <c r="C34" s="68" t="s">
        <v>161</v>
      </c>
      <c r="D34" s="52">
        <v>45671</v>
      </c>
      <c r="E34" s="50" t="s">
        <v>85</v>
      </c>
      <c r="F34" s="50">
        <v>10</v>
      </c>
      <c r="G34" s="51">
        <v>10000</v>
      </c>
      <c r="H34" s="51">
        <f>SUMIF(réglement[N° de facture],listeCreances[[#This Row],[N° de facture]],réglement[Montant encaissé])</f>
        <v>0</v>
      </c>
      <c r="I34" s="51">
        <f>listeCreances[[#This Row],[Montant facturé]]-listeCreances[[#This Row],[Montant encaissé]]</f>
        <v>10000</v>
      </c>
      <c r="J34" s="52">
        <f>listeCreances[[#This Row],[Date d''émission]]+listeCreances[[#This Row],[Délai de règlement]]</f>
        <v>45681</v>
      </c>
      <c r="K34" s="50">
        <f ca="1">IF(listeCreances[[#This Row],[Solde]]=0,"",TODAY()-J34)</f>
        <v>30</v>
      </c>
      <c r="L34" s="50" t="str">
        <f ca="1">IF(listeCreances[[#This Row],[Retard]]="","payé",IF(K34&lt;=0,"non échue",IF(K34&lt;=30,"échue[1,30]",IF(K34&lt;=60,"échue[31,60]",IF(K34&lt;=90,"échue[61,90]","échue&gt;90")))))</f>
        <v>échue[1,30]</v>
      </c>
      <c r="M34" s="50"/>
    </row>
    <row r="35" spans="2:14">
      <c r="C35" s="68" t="s">
        <v>160</v>
      </c>
      <c r="D35" s="52">
        <v>45677</v>
      </c>
      <c r="E35" s="50" t="s">
        <v>86</v>
      </c>
      <c r="F35" s="50">
        <v>30</v>
      </c>
      <c r="G35" s="51">
        <v>8700</v>
      </c>
      <c r="H35" s="51">
        <f>SUMIF(réglement[N° de facture],listeCreances[[#This Row],[N° de facture]],réglement[Montant encaissé])</f>
        <v>5000</v>
      </c>
      <c r="I35" s="51">
        <f>listeCreances[[#This Row],[Montant facturé]]-listeCreances[[#This Row],[Montant encaissé]]</f>
        <v>3700</v>
      </c>
      <c r="J35" s="52">
        <f>listeCreances[[#This Row],[Date d''émission]]+listeCreances[[#This Row],[Délai de règlement]]</f>
        <v>45707</v>
      </c>
      <c r="K35" s="50">
        <f ca="1">IF(listeCreances[[#This Row],[Solde]]=0,"",TODAY()-J35)</f>
        <v>4</v>
      </c>
      <c r="L35" s="50" t="str">
        <f ca="1">IF(listeCreances[[#This Row],[Retard]]="","payé",IF(K35&lt;=0,"non échue",IF(K35&lt;=30,"échue[1,30]",IF(K35&lt;=60,"échue[31,60]",IF(K35&lt;=90,"échue[61,90]","échue&gt;90")))))</f>
        <v>échue[1,30]</v>
      </c>
      <c r="M35" s="50"/>
    </row>
    <row r="36" spans="2:14">
      <c r="C36" s="68" t="s">
        <v>159</v>
      </c>
      <c r="D36" s="52">
        <v>45662</v>
      </c>
      <c r="E36" s="50" t="s">
        <v>86</v>
      </c>
      <c r="F36" s="50">
        <v>20</v>
      </c>
      <c r="G36" s="51">
        <v>10000</v>
      </c>
      <c r="H36" s="51">
        <f>SUMIF(réglement[N° de facture],listeCreances[[#This Row],[N° de facture]],réglement[Montant encaissé])</f>
        <v>0</v>
      </c>
      <c r="I36" s="51">
        <f>listeCreances[[#This Row],[Montant facturé]]-listeCreances[[#This Row],[Montant encaissé]]</f>
        <v>10000</v>
      </c>
      <c r="J36" s="52">
        <f>listeCreances[[#This Row],[Date d''émission]]+listeCreances[[#This Row],[Délai de règlement]]</f>
        <v>45682</v>
      </c>
      <c r="K36" s="50">
        <f ca="1">IF(listeCreances[[#This Row],[Solde]]=0,"",TODAY()-J36)</f>
        <v>29</v>
      </c>
      <c r="L36" s="50" t="str">
        <f ca="1">IF(listeCreances[[#This Row],[Retard]]="","payé",IF(K36&lt;=0,"non échue",IF(K36&lt;=30,"échue[1,30]",IF(K36&lt;=60,"échue[31,60]",IF(K36&lt;=90,"échue[61,90]","échue&gt;90")))))</f>
        <v>échue[1,30]</v>
      </c>
      <c r="M36" s="50"/>
    </row>
    <row r="37" spans="2:14">
      <c r="C37" s="68" t="s">
        <v>158</v>
      </c>
      <c r="D37" s="52">
        <v>45663</v>
      </c>
      <c r="E37" s="50" t="s">
        <v>87</v>
      </c>
      <c r="F37" s="50">
        <v>10</v>
      </c>
      <c r="G37" s="51">
        <v>150000</v>
      </c>
      <c r="H37" s="51">
        <f>SUMIF(réglement[N° de facture],listeCreances[[#This Row],[N° de facture]],réglement[Montant encaissé])</f>
        <v>0</v>
      </c>
      <c r="I37" s="51">
        <f>listeCreances[[#This Row],[Montant facturé]]-listeCreances[[#This Row],[Montant encaissé]]</f>
        <v>150000</v>
      </c>
      <c r="J37" s="52">
        <f>listeCreances[[#This Row],[Date d''émission]]+listeCreances[[#This Row],[Délai de règlement]]</f>
        <v>45673</v>
      </c>
      <c r="K37" s="50">
        <f ca="1">IF(listeCreances[[#This Row],[Solde]]=0,"",TODAY()-J37)</f>
        <v>38</v>
      </c>
      <c r="L37" s="50" t="str">
        <f ca="1">IF(listeCreances[[#This Row],[Retard]]="","payé",IF(K37&lt;=0,"non échue",IF(K37&lt;=30,"échue[1,30]",IF(K37&lt;=60,"échue[31,60]",IF(K37&lt;=90,"échue[61,90]","échue&gt;90")))))</f>
        <v>échue[31,60]</v>
      </c>
      <c r="M37" s="50"/>
    </row>
    <row r="38" spans="2:14">
      <c r="C38" s="68" t="s">
        <v>157</v>
      </c>
      <c r="D38" s="52">
        <v>45664</v>
      </c>
      <c r="E38" s="50" t="s">
        <v>88</v>
      </c>
      <c r="F38" s="50">
        <v>15</v>
      </c>
      <c r="G38" s="51">
        <v>5000</v>
      </c>
      <c r="H38" s="51">
        <f>SUMIF(réglement[N° de facture],listeCreances[[#This Row],[N° de facture]],réglement[Montant encaissé])</f>
        <v>0</v>
      </c>
      <c r="I38" s="51">
        <f>listeCreances[[#This Row],[Montant facturé]]-listeCreances[[#This Row],[Montant encaissé]]</f>
        <v>5000</v>
      </c>
      <c r="J38" s="52">
        <f>listeCreances[[#This Row],[Date d''émission]]+listeCreances[[#This Row],[Délai de règlement]]</f>
        <v>45679</v>
      </c>
      <c r="K38" s="50">
        <f ca="1">IF(listeCreances[[#This Row],[Solde]]=0,"",TODAY()-J38)</f>
        <v>32</v>
      </c>
      <c r="L38" s="50" t="str">
        <f ca="1">IF(listeCreances[[#This Row],[Retard]]="","payé",IF(K38&lt;=0,"non échue",IF(K38&lt;=30,"échue[1,30]",IF(K38&lt;=60,"échue[31,60]",IF(K38&lt;=90,"échue[61,90]","échue&gt;90")))))</f>
        <v>échue[31,60]</v>
      </c>
      <c r="M38" s="50"/>
    </row>
    <row r="39" spans="2:14">
      <c r="C39" s="68" t="s">
        <v>156</v>
      </c>
      <c r="D39" s="52">
        <v>45665</v>
      </c>
      <c r="E39" s="50" t="s">
        <v>87</v>
      </c>
      <c r="F39" s="50">
        <v>40</v>
      </c>
      <c r="G39" s="51">
        <v>7000</v>
      </c>
      <c r="H39" s="51">
        <f>SUMIF(réglement[N° de facture],listeCreances[[#This Row],[N° de facture]],réglement[Montant encaissé])</f>
        <v>5000</v>
      </c>
      <c r="I39" s="51">
        <f>listeCreances[[#This Row],[Montant facturé]]-listeCreances[[#This Row],[Montant encaissé]]</f>
        <v>2000</v>
      </c>
      <c r="J39" s="52">
        <f>listeCreances[[#This Row],[Date d''émission]]+listeCreances[[#This Row],[Délai de règlement]]</f>
        <v>45705</v>
      </c>
      <c r="K39" s="50">
        <f ca="1">IF(listeCreances[[#This Row],[Solde]]=0,"",TODAY()-J39)</f>
        <v>6</v>
      </c>
      <c r="L39" s="50" t="str">
        <f ca="1">IF(listeCreances[[#This Row],[Retard]]="","payé",IF(K39&lt;=0,"non échue",IF(K39&lt;=30,"échue[1,30]",IF(K39&lt;=60,"échue[31,60]",IF(K39&lt;=90,"échue[61,90]","échue&gt;90")))))</f>
        <v>échue[1,30]</v>
      </c>
      <c r="M39" s="50"/>
    </row>
    <row r="40" spans="2:14">
      <c r="C40" s="68" t="s">
        <v>155</v>
      </c>
      <c r="D40" s="52">
        <v>45666</v>
      </c>
      <c r="E40" s="50" t="s">
        <v>87</v>
      </c>
      <c r="F40" s="50">
        <v>30</v>
      </c>
      <c r="G40" s="51">
        <v>250</v>
      </c>
      <c r="H40" s="51">
        <f>SUMIF(réglement[N° de facture],listeCreances[[#This Row],[N° de facture]],réglement[Montant encaissé])</f>
        <v>0</v>
      </c>
      <c r="I40" s="51">
        <f>listeCreances[[#This Row],[Montant facturé]]-listeCreances[[#This Row],[Montant encaissé]]</f>
        <v>250</v>
      </c>
      <c r="J40" s="52">
        <f>listeCreances[[#This Row],[Date d''émission]]+listeCreances[[#This Row],[Délai de règlement]]</f>
        <v>45696</v>
      </c>
      <c r="K40" s="50">
        <f ca="1">IF(listeCreances[[#This Row],[Solde]]=0,"",TODAY()-J40)</f>
        <v>15</v>
      </c>
      <c r="L40" s="50" t="str">
        <f ca="1">IF(listeCreances[[#This Row],[Retard]]="","payé",IF(K40&lt;=0,"non échue",IF(K40&lt;=30,"échue[1,30]",IF(K40&lt;=60,"échue[31,60]",IF(K40&lt;=90,"échue[61,90]","échue&gt;90")))))</f>
        <v>échue[1,30]</v>
      </c>
      <c r="M40" s="50"/>
    </row>
    <row r="41" spans="2:14" hidden="1">
      <c r="C41" s="68" t="s">
        <v>154</v>
      </c>
      <c r="D41" s="52">
        <v>45667</v>
      </c>
      <c r="E41" s="50" t="s">
        <v>89</v>
      </c>
      <c r="F41" s="50">
        <v>5</v>
      </c>
      <c r="G41" s="51">
        <v>4000</v>
      </c>
      <c r="H41" s="51">
        <f>SUMIF(réglement[N° de facture],listeCreances[[#This Row],[N° de facture]],réglement[Montant encaissé])</f>
        <v>4000</v>
      </c>
      <c r="I41" s="51">
        <f>listeCreances[[#This Row],[Montant facturé]]-listeCreances[[#This Row],[Montant encaissé]]</f>
        <v>0</v>
      </c>
      <c r="J41" s="52">
        <f>listeCreances[[#This Row],[Date d''émission]]+listeCreances[[#This Row],[Délai de règlement]]</f>
        <v>45672</v>
      </c>
      <c r="K41" s="50" t="str">
        <f ca="1">IF(listeCreances[[#This Row],[Solde]]=0,"",TODAY()-J41)</f>
        <v/>
      </c>
      <c r="L41" s="50" t="str">
        <f ca="1">IF(listeCreances[[#This Row],[Retard]]="","payé",IF(K41&lt;=0,"non échue",IF(K41&lt;=30,"échue[1,30]",IF(K41&lt;=60,"échue[31,60]",IF(K41&lt;=90,"échue[61,90]","échue&gt;90")))))</f>
        <v>payé</v>
      </c>
      <c r="M41" s="50"/>
    </row>
    <row r="42" spans="2:14">
      <c r="C42" s="68" t="s">
        <v>153</v>
      </c>
      <c r="D42" s="52">
        <v>45668</v>
      </c>
      <c r="E42" s="50" t="s">
        <v>89</v>
      </c>
      <c r="F42" s="50">
        <v>7</v>
      </c>
      <c r="G42" s="51">
        <v>20000</v>
      </c>
      <c r="H42" s="51">
        <f>SUMIF(réglement[N° de facture],listeCreances[[#This Row],[N° de facture]],réglement[Montant encaissé])</f>
        <v>15000</v>
      </c>
      <c r="I42" s="51">
        <f>listeCreances[[#This Row],[Montant facturé]]-listeCreances[[#This Row],[Montant encaissé]]</f>
        <v>5000</v>
      </c>
      <c r="J42" s="52">
        <f>listeCreances[[#This Row],[Date d''émission]]+listeCreances[[#This Row],[Délai de règlement]]</f>
        <v>45675</v>
      </c>
      <c r="K42" s="50">
        <f ca="1">IF(listeCreances[[#This Row],[Solde]]=0,"",TODAY()-J42)</f>
        <v>36</v>
      </c>
      <c r="L42" s="50" t="str">
        <f ca="1">IF(listeCreances[[#This Row],[Retard]]="","payé",IF(K42&lt;=0,"non échue",IF(K42&lt;=30,"échue[1,30]",IF(K42&lt;=60,"échue[31,60]",IF(K42&lt;=90,"échue[61,90]","échue&gt;90")))))</f>
        <v>échue[31,60]</v>
      </c>
      <c r="M42" s="50"/>
    </row>
    <row r="43" spans="2:14">
      <c r="C43" s="68" t="s">
        <v>152</v>
      </c>
      <c r="D43" s="52">
        <v>45659</v>
      </c>
      <c r="E43" s="50" t="s">
        <v>86</v>
      </c>
      <c r="F43" s="50">
        <v>15</v>
      </c>
      <c r="G43" s="51">
        <v>7000</v>
      </c>
      <c r="H43" s="51">
        <f>SUMIF(réglement[N° de facture],listeCreances[[#This Row],[N° de facture]],réglement[Montant encaissé])</f>
        <v>0</v>
      </c>
      <c r="I43" s="51">
        <f>listeCreances[[#This Row],[Montant facturé]]-listeCreances[[#This Row],[Montant encaissé]]</f>
        <v>7000</v>
      </c>
      <c r="J43" s="52">
        <f>listeCreances[[#This Row],[Date d''émission]]+listeCreances[[#This Row],[Délai de règlement]]</f>
        <v>45674</v>
      </c>
      <c r="K43" s="50">
        <f ca="1">IF(listeCreances[[#This Row],[Solde]]=0,"",TODAY()-J43)</f>
        <v>37</v>
      </c>
      <c r="L43" s="50" t="str">
        <f ca="1">IF(listeCreances[[#This Row],[Retard]]="","payé",IF(K43&lt;=0,"non échue",IF(K43&lt;=30,"échue[1,30]",IF(K43&lt;=60,"échue[31,60]",IF(K43&lt;=90,"échue[61,90]","échue&gt;90")))))</f>
        <v>échue[31,60]</v>
      </c>
      <c r="M43" s="50"/>
    </row>
    <row r="44" spans="2:14">
      <c r="C44" s="68" t="s">
        <v>151</v>
      </c>
      <c r="D44" s="52">
        <v>45660</v>
      </c>
      <c r="E44" s="50" t="s">
        <v>85</v>
      </c>
      <c r="F44" s="50">
        <v>10</v>
      </c>
      <c r="G44" s="51">
        <v>6000</v>
      </c>
      <c r="H44" s="51">
        <f>SUMIF(réglement[N° de facture],listeCreances[[#This Row],[N° de facture]],réglement[Montant encaissé])</f>
        <v>0</v>
      </c>
      <c r="I44" s="51">
        <f>listeCreances[[#This Row],[Montant facturé]]-listeCreances[[#This Row],[Montant encaissé]]</f>
        <v>6000</v>
      </c>
      <c r="J44" s="52">
        <f>listeCreances[[#This Row],[Date d''émission]]+listeCreances[[#This Row],[Délai de règlement]]</f>
        <v>45670</v>
      </c>
      <c r="K44" s="50">
        <f ca="1">IF(listeCreances[[#This Row],[Solde]]=0,"",TODAY()-J44)</f>
        <v>41</v>
      </c>
      <c r="L44" s="50" t="str">
        <f ca="1">IF(listeCreances[[#This Row],[Retard]]="","payé",IF(K44&lt;=0,"non échue",IF(K44&lt;=30,"échue[1,30]",IF(K44&lt;=60,"échue[31,60]",IF(K44&lt;=90,"échue[61,90]","échue&gt;90")))))</f>
        <v>échue[31,60]</v>
      </c>
      <c r="M44" s="50"/>
    </row>
    <row r="45" spans="2:14" hidden="1">
      <c r="C45" s="68" t="s">
        <v>150</v>
      </c>
      <c r="D45" s="52">
        <v>45661</v>
      </c>
      <c r="E45" s="50" t="s">
        <v>85</v>
      </c>
      <c r="F45" s="50">
        <v>30</v>
      </c>
      <c r="G45" s="51">
        <v>7800</v>
      </c>
      <c r="H45" s="51">
        <f>SUMIF(réglement[N° de facture],listeCreances[[#This Row],[N° de facture]],réglement[Montant encaissé])</f>
        <v>7800</v>
      </c>
      <c r="I45" s="51">
        <f>listeCreances[[#This Row],[Montant facturé]]-listeCreances[[#This Row],[Montant encaissé]]</f>
        <v>0</v>
      </c>
      <c r="J45" s="52">
        <f>listeCreances[[#This Row],[Date d''émission]]+listeCreances[[#This Row],[Délai de règlement]]</f>
        <v>45691</v>
      </c>
      <c r="K45" s="50" t="str">
        <f ca="1">IF(listeCreances[[#This Row],[Solde]]=0,"",TODAY()-J45)</f>
        <v/>
      </c>
      <c r="L45" s="50" t="str">
        <f ca="1">IF(listeCreances[[#This Row],[Retard]]="","payé",IF(K45&lt;=0,"non échue",IF(K45&lt;=30,"échue[1,30]",IF(K45&lt;=60,"échue[31,60]",IF(K45&lt;=90,"échue[61,90]","échue&gt;90")))))</f>
        <v>payé</v>
      </c>
      <c r="M45" s="50"/>
    </row>
    <row r="46" spans="2:14">
      <c r="C46" s="68" t="s">
        <v>149</v>
      </c>
      <c r="D46" s="52">
        <v>45453</v>
      </c>
      <c r="E46" s="50" t="s">
        <v>89</v>
      </c>
      <c r="F46" s="50">
        <v>90</v>
      </c>
      <c r="G46" s="51">
        <v>1600</v>
      </c>
      <c r="H46" s="51">
        <f>SUMIF(réglement[N° de facture],listeCreances[[#This Row],[N° de facture]],réglement[Montant encaissé])</f>
        <v>1500</v>
      </c>
      <c r="I46" s="51">
        <f>listeCreances[[#This Row],[Montant facturé]]-listeCreances[[#This Row],[Montant encaissé]]</f>
        <v>100</v>
      </c>
      <c r="J46" s="52">
        <f>listeCreances[[#This Row],[Date d''émission]]+listeCreances[[#This Row],[Délai de règlement]]</f>
        <v>45543</v>
      </c>
      <c r="K46" s="50">
        <f ca="1">IF(listeCreances[[#This Row],[Solde]]=0,"",TODAY()-J46)</f>
        <v>168</v>
      </c>
      <c r="L46" s="50" t="str">
        <f ca="1">IF(listeCreances[[#This Row],[Retard]]="","payé",IF(K46&lt;=0,"non échue",IF(K46&lt;=30,"échue[1,30]",IF(K46&lt;=60,"échue[31,60]",IF(K46&lt;=90,"échue[61,90]","échue&gt;90")))))</f>
        <v>échue&gt;90</v>
      </c>
      <c r="M46" s="50"/>
    </row>
    <row r="47" spans="2:14">
      <c r="C47" s="68" t="s">
        <v>148</v>
      </c>
      <c r="D47" s="52">
        <v>45452</v>
      </c>
      <c r="E47" s="50" t="s">
        <v>87</v>
      </c>
      <c r="F47" s="50">
        <v>60</v>
      </c>
      <c r="G47" s="51">
        <v>650</v>
      </c>
      <c r="H47" s="51">
        <f>SUMIF(réglement[N° de facture],listeCreances[[#This Row],[N° de facture]],réglement[Montant encaissé])</f>
        <v>0</v>
      </c>
      <c r="I47" s="51">
        <f>listeCreances[[#This Row],[Montant facturé]]-listeCreances[[#This Row],[Montant encaissé]]</f>
        <v>650</v>
      </c>
      <c r="J47" s="52">
        <f>listeCreances[[#This Row],[Date d''émission]]+listeCreances[[#This Row],[Délai de règlement]]</f>
        <v>45512</v>
      </c>
      <c r="K47" s="50">
        <f ca="1">IF(listeCreances[[#This Row],[Solde]]=0,"",TODAY()-J47)</f>
        <v>199</v>
      </c>
      <c r="L47" s="50" t="str">
        <f ca="1">IF(listeCreances[[#This Row],[Retard]]="","payé",IF(K47&lt;=0,"non échue",IF(K47&lt;=30,"échue[1,30]",IF(K47&lt;=60,"échue[31,60]",IF(K47&lt;=90,"échue[61,90]","échue&gt;90")))))</f>
        <v>échue&gt;90</v>
      </c>
      <c r="M47" s="50"/>
    </row>
    <row r="48" spans="2:14" hidden="1">
      <c r="C48" s="68" t="s">
        <v>147</v>
      </c>
      <c r="D48" s="52">
        <v>45449</v>
      </c>
      <c r="E48" s="50" t="s">
        <v>90</v>
      </c>
      <c r="F48" s="50">
        <v>60</v>
      </c>
      <c r="G48" s="51">
        <v>800</v>
      </c>
      <c r="H48" s="51">
        <f>SUMIF(réglement[N° de facture],listeCreances[[#This Row],[N° de facture]],réglement[Montant encaissé])</f>
        <v>800</v>
      </c>
      <c r="I48" s="51">
        <f>listeCreances[[#This Row],[Montant facturé]]-listeCreances[[#This Row],[Montant encaissé]]</f>
        <v>0</v>
      </c>
      <c r="J48" s="52">
        <f>listeCreances[[#This Row],[Date d''émission]]+listeCreances[[#This Row],[Délai de règlement]]</f>
        <v>45509</v>
      </c>
      <c r="K48" s="50" t="str">
        <f ca="1">IF(listeCreances[[#This Row],[Solde]]=0,"",TODAY()-J48)</f>
        <v/>
      </c>
      <c r="L48" s="50" t="str">
        <f ca="1">IF(listeCreances[[#This Row],[Retard]]="","payé",IF(K48&lt;=0,"non échue",IF(K48&lt;=30,"échue[1,30]",IF(K48&lt;=60,"échue[31,60]",IF(K48&lt;=90,"échue[61,90]","échue&gt;90")))))</f>
        <v>payé</v>
      </c>
      <c r="M48" s="50"/>
    </row>
    <row r="49" spans="3:13">
      <c r="C49" s="68" t="s">
        <v>146</v>
      </c>
      <c r="D49" s="52">
        <v>45422</v>
      </c>
      <c r="E49" s="50" t="s">
        <v>85</v>
      </c>
      <c r="F49" s="50">
        <v>70</v>
      </c>
      <c r="G49" s="51">
        <v>2000</v>
      </c>
      <c r="H49" s="51">
        <f>SUMIF(réglement[N° de facture],listeCreances[[#This Row],[N° de facture]],réglement[Montant encaissé])</f>
        <v>1500</v>
      </c>
      <c r="I49" s="51">
        <f>listeCreances[[#This Row],[Montant facturé]]-listeCreances[[#This Row],[Montant encaissé]]</f>
        <v>500</v>
      </c>
      <c r="J49" s="52">
        <f>listeCreances[[#This Row],[Date d''émission]]+listeCreances[[#This Row],[Délai de règlement]]</f>
        <v>45492</v>
      </c>
      <c r="K49" s="50">
        <f ca="1">IF(listeCreances[[#This Row],[Solde]]=0,"",TODAY()-J49)</f>
        <v>219</v>
      </c>
      <c r="L49" s="50" t="str">
        <f ca="1">IF(listeCreances[[#This Row],[Retard]]="","payé",IF(K49&lt;=0,"non échue",IF(K49&lt;=30,"échue[1,30]",IF(K49&lt;=60,"échue[31,60]",IF(K49&lt;=90,"échue[61,90]","échue&gt;90")))))</f>
        <v>échue&gt;90</v>
      </c>
      <c r="M49" s="50"/>
    </row>
    <row r="50" spans="3:13">
      <c r="C50" s="68" t="s">
        <v>145</v>
      </c>
      <c r="D50" s="52">
        <v>45480</v>
      </c>
      <c r="E50" s="50" t="s">
        <v>88</v>
      </c>
      <c r="F50" s="50">
        <v>30</v>
      </c>
      <c r="G50" s="51">
        <v>400</v>
      </c>
      <c r="H50" s="51">
        <f>SUMIF(réglement[N° de facture],listeCreances[[#This Row],[N° de facture]],réglement[Montant encaissé])</f>
        <v>300</v>
      </c>
      <c r="I50" s="51">
        <f>listeCreances[[#This Row],[Montant facturé]]-listeCreances[[#This Row],[Montant encaissé]]</f>
        <v>100</v>
      </c>
      <c r="J50" s="52">
        <f>listeCreances[[#This Row],[Date d''émission]]+listeCreances[[#This Row],[Délai de règlement]]</f>
        <v>45510</v>
      </c>
      <c r="K50" s="50">
        <f ca="1">IF(listeCreances[[#This Row],[Solde]]=0,"",TODAY()-J50)</f>
        <v>201</v>
      </c>
      <c r="L50" s="50" t="str">
        <f ca="1">IF(listeCreances[[#This Row],[Retard]]="","payé",IF(K50&lt;=0,"non échue",IF(K50&lt;=30,"échue[1,30]",IF(K50&lt;=60,"échue[31,60]",IF(K50&lt;=90,"échue[61,90]","échue&gt;90")))))</f>
        <v>échue&gt;90</v>
      </c>
      <c r="M50" s="50"/>
    </row>
    <row r="51" spans="3:13">
      <c r="C51" s="68" t="s">
        <v>144</v>
      </c>
      <c r="D51" s="52">
        <v>45480</v>
      </c>
      <c r="E51" s="50" t="s">
        <v>87</v>
      </c>
      <c r="F51" s="50">
        <v>30</v>
      </c>
      <c r="G51" s="51">
        <v>50</v>
      </c>
      <c r="H51" s="51">
        <f>SUMIF(réglement[N° de facture],listeCreances[[#This Row],[N° de facture]],réglement[Montant encaissé])</f>
        <v>0</v>
      </c>
      <c r="I51" s="51">
        <f>listeCreances[[#This Row],[Montant facturé]]-listeCreances[[#This Row],[Montant encaissé]]</f>
        <v>50</v>
      </c>
      <c r="J51" s="52">
        <f>listeCreances[[#This Row],[Date d''émission]]+listeCreances[[#This Row],[Délai de règlement]]</f>
        <v>45510</v>
      </c>
      <c r="K51" s="50">
        <f ca="1">IF(listeCreances[[#This Row],[Solde]]=0,"",TODAY()-J51)</f>
        <v>201</v>
      </c>
      <c r="L51" s="50" t="str">
        <f ca="1">IF(listeCreances[[#This Row],[Retard]]="","payé",IF(K51&lt;=0,"non échue",IF(K51&lt;=30,"échue[1,30]",IF(K51&lt;=60,"échue[31,60]",IF(K51&lt;=90,"échue[61,90]","échue&gt;90")))))</f>
        <v>échue&gt;90</v>
      </c>
      <c r="M51" s="50"/>
    </row>
    <row r="52" spans="3:13">
      <c r="C52" s="68" t="s">
        <v>143</v>
      </c>
      <c r="D52" s="52">
        <v>45480</v>
      </c>
      <c r="E52" s="50" t="s">
        <v>89</v>
      </c>
      <c r="F52" s="50">
        <v>30</v>
      </c>
      <c r="G52" s="51">
        <v>100</v>
      </c>
      <c r="H52" s="51">
        <f>SUMIF(réglement[N° de facture],listeCreances[[#This Row],[N° de facture]],réglement[Montant encaissé])</f>
        <v>0</v>
      </c>
      <c r="I52" s="51">
        <f>listeCreances[[#This Row],[Montant facturé]]-listeCreances[[#This Row],[Montant encaissé]]</f>
        <v>100</v>
      </c>
      <c r="J52" s="52">
        <f>listeCreances[[#This Row],[Date d''émission]]+listeCreances[[#This Row],[Délai de règlement]]</f>
        <v>45510</v>
      </c>
      <c r="K52" s="50">
        <f ca="1">IF(listeCreances[[#This Row],[Solde]]=0,"",TODAY()-J52)</f>
        <v>201</v>
      </c>
      <c r="L52" s="50" t="str">
        <f ca="1">IF(listeCreances[[#This Row],[Retard]]="","payé",IF(K52&lt;=0,"non échue",IF(K52&lt;=30,"échue[1,30]",IF(K52&lt;=60,"échue[31,60]",IF(K52&lt;=90,"échue[61,90]","échue&gt;90")))))</f>
        <v>échue&gt;90</v>
      </c>
      <c r="M52" s="50"/>
    </row>
    <row r="53" spans="3:13">
      <c r="C53" s="68" t="s">
        <v>142</v>
      </c>
      <c r="D53" s="52">
        <v>45480</v>
      </c>
      <c r="E53" s="50" t="s">
        <v>89</v>
      </c>
      <c r="F53" s="50">
        <v>30</v>
      </c>
      <c r="G53" s="51">
        <v>600</v>
      </c>
      <c r="H53" s="51">
        <f>SUMIF(réglement[N° de facture],listeCreances[[#This Row],[N° de facture]],réglement[Montant encaissé])</f>
        <v>0</v>
      </c>
      <c r="I53" s="51">
        <f>listeCreances[[#This Row],[Montant facturé]]-listeCreances[[#This Row],[Montant encaissé]]</f>
        <v>600</v>
      </c>
      <c r="J53" s="52">
        <f>listeCreances[[#This Row],[Date d''émission]]+listeCreances[[#This Row],[Délai de règlement]]</f>
        <v>45510</v>
      </c>
      <c r="K53" s="50">
        <f ca="1">IF(listeCreances[[#This Row],[Solde]]=0,"",TODAY()-J53)</f>
        <v>201</v>
      </c>
      <c r="L53" s="50" t="str">
        <f ca="1">IF(listeCreances[[#This Row],[Retard]]="","payé",IF(K53&lt;=0,"non échue",IF(K53&lt;=30,"échue[1,30]",IF(K53&lt;=60,"échue[31,60]",IF(K53&lt;=90,"échue[61,90]","échue&gt;90")))))</f>
        <v>échue&gt;90</v>
      </c>
      <c r="M53" s="50"/>
    </row>
    <row r="54" spans="3:13">
      <c r="C54" s="68" t="s">
        <v>141</v>
      </c>
      <c r="D54" s="52">
        <v>45415</v>
      </c>
      <c r="E54" s="50" t="s">
        <v>87</v>
      </c>
      <c r="F54" s="50">
        <v>60</v>
      </c>
      <c r="G54" s="51">
        <v>160</v>
      </c>
      <c r="H54" s="51">
        <f>SUMIF(réglement[N° de facture],listeCreances[[#This Row],[N° de facture]],réglement[Montant encaissé])</f>
        <v>0</v>
      </c>
      <c r="I54" s="51">
        <f>listeCreances[[#This Row],[Montant facturé]]-listeCreances[[#This Row],[Montant encaissé]]</f>
        <v>160</v>
      </c>
      <c r="J54" s="52">
        <f>listeCreances[[#This Row],[Date d''émission]]+listeCreances[[#This Row],[Délai de règlement]]</f>
        <v>45475</v>
      </c>
      <c r="K54" s="50">
        <f ca="1">IF(listeCreances[[#This Row],[Solde]]=0,"",TODAY()-J54)</f>
        <v>236</v>
      </c>
      <c r="L54" s="50" t="str">
        <f ca="1">IF(listeCreances[[#This Row],[Retard]]="","payé",IF(K54&lt;=0,"non échue",IF(K54&lt;=30,"échue[1,30]",IF(K54&lt;=60,"échue[31,60]",IF(K54&lt;=90,"échue[61,90]","échue&gt;90")))))</f>
        <v>échue&gt;90</v>
      </c>
      <c r="M54" s="50"/>
    </row>
    <row r="55" spans="3:13">
      <c r="C55" s="68" t="s">
        <v>140</v>
      </c>
      <c r="D55" s="52">
        <v>45441</v>
      </c>
      <c r="E55" s="50" t="s">
        <v>91</v>
      </c>
      <c r="F55" s="50">
        <v>30</v>
      </c>
      <c r="G55" s="51">
        <v>200</v>
      </c>
      <c r="H55" s="51">
        <f>SUMIF(réglement[N° de facture],listeCreances[[#This Row],[N° de facture]],réglement[Montant encaissé])</f>
        <v>0</v>
      </c>
      <c r="I55" s="51">
        <f>listeCreances[[#This Row],[Montant facturé]]-listeCreances[[#This Row],[Montant encaissé]]</f>
        <v>200</v>
      </c>
      <c r="J55" s="52">
        <f>listeCreances[[#This Row],[Date d''émission]]+listeCreances[[#This Row],[Délai de règlement]]</f>
        <v>45471</v>
      </c>
      <c r="K55" s="50">
        <f ca="1">IF(listeCreances[[#This Row],[Solde]]=0,"",TODAY()-J55)</f>
        <v>240</v>
      </c>
      <c r="L55" s="50" t="str">
        <f ca="1">IF(listeCreances[[#This Row],[Retard]]="","payé",IF(K55&lt;=0,"non échue",IF(K55&lt;=30,"échue[1,30]",IF(K55&lt;=60,"échue[31,60]",IF(K55&lt;=90,"échue[61,90]","échue&gt;90")))))</f>
        <v>échue&gt;90</v>
      </c>
      <c r="M55" s="50"/>
    </row>
    <row r="56" spans="3:13">
      <c r="C56" s="68" t="s">
        <v>139</v>
      </c>
      <c r="D56" s="52">
        <v>45422</v>
      </c>
      <c r="E56" s="50" t="s">
        <v>92</v>
      </c>
      <c r="F56" s="50">
        <v>30</v>
      </c>
      <c r="G56" s="51">
        <v>200</v>
      </c>
      <c r="H56" s="51">
        <f>SUMIF(réglement[N° de facture],listeCreances[[#This Row],[N° de facture]],réglement[Montant encaissé])</f>
        <v>0</v>
      </c>
      <c r="I56" s="51">
        <f>listeCreances[[#This Row],[Montant facturé]]-listeCreances[[#This Row],[Montant encaissé]]</f>
        <v>200</v>
      </c>
      <c r="J56" s="52">
        <f>listeCreances[[#This Row],[Date d''émission]]+listeCreances[[#This Row],[Délai de règlement]]</f>
        <v>45452</v>
      </c>
      <c r="K56" s="50">
        <f ca="1">IF(listeCreances[[#This Row],[Solde]]=0,"",TODAY()-J56)</f>
        <v>259</v>
      </c>
      <c r="L56" s="50" t="str">
        <f ca="1">IF(listeCreances[[#This Row],[Retard]]="","payé",IF(K56&lt;=0,"non échue",IF(K56&lt;=30,"échue[1,30]",IF(K56&lt;=60,"échue[31,60]",IF(K56&lt;=90,"échue[61,90]","échue&gt;90")))))</f>
        <v>échue&gt;90</v>
      </c>
      <c r="M56" s="50"/>
    </row>
    <row r="57" spans="3:13" hidden="1">
      <c r="C57" s="68" t="s">
        <v>138</v>
      </c>
      <c r="D57" s="52">
        <v>45386</v>
      </c>
      <c r="E57" s="50" t="s">
        <v>85</v>
      </c>
      <c r="F57" s="50">
        <v>60</v>
      </c>
      <c r="G57" s="51">
        <v>200</v>
      </c>
      <c r="H57" s="51">
        <f>SUMIF(réglement[N° de facture],listeCreances[[#This Row],[N° de facture]],réglement[Montant encaissé])</f>
        <v>200</v>
      </c>
      <c r="I57" s="51">
        <f>listeCreances[[#This Row],[Montant facturé]]-listeCreances[[#This Row],[Montant encaissé]]</f>
        <v>0</v>
      </c>
      <c r="J57" s="52">
        <f>listeCreances[[#This Row],[Date d''émission]]+listeCreances[[#This Row],[Délai de règlement]]</f>
        <v>45446</v>
      </c>
      <c r="K57" s="50" t="str">
        <f ca="1">IF(listeCreances[[#This Row],[Solde]]=0,"",TODAY()-J57)</f>
        <v/>
      </c>
      <c r="L57" s="50" t="str">
        <f ca="1">IF(listeCreances[[#This Row],[Retard]]="","payé",IF(K57&lt;=0,"non échue",IF(K57&lt;=30,"échue[1,30]",IF(K57&lt;=60,"échue[31,60]",IF(K57&lt;=90,"échue[61,90]","échue&gt;90")))))</f>
        <v>payé</v>
      </c>
      <c r="M57" s="50"/>
    </row>
    <row r="58" spans="3:13" hidden="1">
      <c r="C58" s="68" t="s">
        <v>137</v>
      </c>
      <c r="D58" s="52">
        <v>45415</v>
      </c>
      <c r="E58" s="50" t="s">
        <v>93</v>
      </c>
      <c r="F58" s="50">
        <v>30</v>
      </c>
      <c r="G58" s="51">
        <v>200</v>
      </c>
      <c r="H58" s="51">
        <f>SUMIF(réglement[N° de facture],listeCreances[[#This Row],[N° de facture]],réglement[Montant encaissé])</f>
        <v>200</v>
      </c>
      <c r="I58" s="51">
        <f>listeCreances[[#This Row],[Montant facturé]]-listeCreances[[#This Row],[Montant encaissé]]</f>
        <v>0</v>
      </c>
      <c r="J58" s="52">
        <f>listeCreances[[#This Row],[Date d''émission]]+listeCreances[[#This Row],[Délai de règlement]]</f>
        <v>45445</v>
      </c>
      <c r="K58" s="50" t="str">
        <f ca="1">IF(listeCreances[[#This Row],[Solde]]=0,"",TODAY()-J58)</f>
        <v/>
      </c>
      <c r="L58" s="50" t="str">
        <f ca="1">IF(listeCreances[[#This Row],[Retard]]="","payé",IF(K58&lt;=0,"non échue",IF(K58&lt;=30,"échue[1,30]",IF(K58&lt;=60,"échue[31,60]",IF(K58&lt;=90,"échue[61,90]","échue&gt;90")))))</f>
        <v>payé</v>
      </c>
      <c r="M58" s="50"/>
    </row>
    <row r="59" spans="3:13">
      <c r="C59" s="68" t="s">
        <v>136</v>
      </c>
      <c r="D59" s="52">
        <v>45404</v>
      </c>
      <c r="E59" s="50" t="s">
        <v>86</v>
      </c>
      <c r="F59" s="50">
        <v>30</v>
      </c>
      <c r="G59" s="51">
        <v>120</v>
      </c>
      <c r="H59" s="51">
        <f>SUMIF(réglement[N° de facture],listeCreances[[#This Row],[N° de facture]],réglement[Montant encaissé])</f>
        <v>0</v>
      </c>
      <c r="I59" s="51">
        <f>listeCreances[[#This Row],[Montant facturé]]-listeCreances[[#This Row],[Montant encaissé]]</f>
        <v>120</v>
      </c>
      <c r="J59" s="52">
        <f>listeCreances[[#This Row],[Date d''émission]]+listeCreances[[#This Row],[Délai de règlement]]</f>
        <v>45434</v>
      </c>
      <c r="K59" s="50">
        <f ca="1">IF(listeCreances[[#This Row],[Solde]]=0,"",TODAY()-J59)</f>
        <v>277</v>
      </c>
      <c r="L59" s="50" t="str">
        <f ca="1">IF(listeCreances[[#This Row],[Retard]]="","payé",IF(K59&lt;=0,"non échue",IF(K59&lt;=30,"échue[1,30]",IF(K59&lt;=60,"échue[31,60]",IF(K59&lt;=90,"échue[61,90]","échue&gt;90")))))</f>
        <v>échue&gt;90</v>
      </c>
      <c r="M59" s="50"/>
    </row>
    <row r="60" spans="3:13" hidden="1">
      <c r="C60" s="68" t="s">
        <v>135</v>
      </c>
      <c r="D60" s="52">
        <v>45397</v>
      </c>
      <c r="E60" s="50" t="s">
        <v>94</v>
      </c>
      <c r="F60" s="50">
        <v>30</v>
      </c>
      <c r="G60" s="51">
        <v>300</v>
      </c>
      <c r="H60" s="51">
        <f>SUMIF(réglement[N° de facture],listeCreances[[#This Row],[N° de facture]],réglement[Montant encaissé])</f>
        <v>300</v>
      </c>
      <c r="I60" s="51">
        <f>listeCreances[[#This Row],[Montant facturé]]-listeCreances[[#This Row],[Montant encaissé]]</f>
        <v>0</v>
      </c>
      <c r="J60" s="52">
        <f>listeCreances[[#This Row],[Date d''émission]]+listeCreances[[#This Row],[Délai de règlement]]</f>
        <v>45427</v>
      </c>
      <c r="K60" s="50" t="str">
        <f ca="1">IF(listeCreances[[#This Row],[Solde]]=0,"",TODAY()-J60)</f>
        <v/>
      </c>
      <c r="L60" s="50" t="str">
        <f ca="1">IF(listeCreances[[#This Row],[Retard]]="","payé",IF(K60&lt;=0,"non échue",IF(K60&lt;=30,"échue[1,30]",IF(K60&lt;=60,"échue[31,60]",IF(K60&lt;=90,"échue[61,90]","échue&gt;90")))))</f>
        <v>payé</v>
      </c>
      <c r="M60" s="50"/>
    </row>
    <row r="61" spans="3:13">
      <c r="C61" s="68" t="s">
        <v>134</v>
      </c>
      <c r="D61" s="52">
        <v>45413</v>
      </c>
      <c r="E61" s="50" t="s">
        <v>94</v>
      </c>
      <c r="F61" s="50">
        <v>10</v>
      </c>
      <c r="G61" s="51">
        <v>5000</v>
      </c>
      <c r="H61" s="51">
        <f>SUMIF(réglement[N° de facture],listeCreances[[#This Row],[N° de facture]],réglement[Montant encaissé])</f>
        <v>4000</v>
      </c>
      <c r="I61" s="51">
        <f>listeCreances[[#This Row],[Montant facturé]]-listeCreances[[#This Row],[Montant encaissé]]</f>
        <v>1000</v>
      </c>
      <c r="J61" s="52">
        <f>listeCreances[[#This Row],[Date d''émission]]+listeCreances[[#This Row],[Délai de règlement]]</f>
        <v>45423</v>
      </c>
      <c r="K61" s="50">
        <f ca="1">IF(listeCreances[[#This Row],[Solde]]=0,"",TODAY()-J61)</f>
        <v>288</v>
      </c>
      <c r="L61" s="50" t="str">
        <f ca="1">IF(listeCreances[[#This Row],[Retard]]="","payé",IF(K61&lt;=0,"non échue",IF(K61&lt;=30,"échue[1,30]",IF(K61&lt;=60,"échue[31,60]",IF(K61&lt;=90,"échue[61,90]","échue&gt;90")))))</f>
        <v>échue&gt;90</v>
      </c>
      <c r="M61" s="50"/>
    </row>
    <row r="62" spans="3:13">
      <c r="C62" s="68" t="s">
        <v>133</v>
      </c>
      <c r="D62" s="52">
        <v>45386</v>
      </c>
      <c r="E62" s="50" t="s">
        <v>85</v>
      </c>
      <c r="F62" s="50">
        <v>30</v>
      </c>
      <c r="G62" s="51">
        <v>700</v>
      </c>
      <c r="H62" s="51">
        <f>SUMIF(réglement[N° de facture],listeCreances[[#This Row],[N° de facture]],réglement[Montant encaissé])</f>
        <v>600</v>
      </c>
      <c r="I62" s="51">
        <f>listeCreances[[#This Row],[Montant facturé]]-listeCreances[[#This Row],[Montant encaissé]]</f>
        <v>100</v>
      </c>
      <c r="J62" s="52">
        <f>listeCreances[[#This Row],[Date d''émission]]+listeCreances[[#This Row],[Délai de règlement]]</f>
        <v>45416</v>
      </c>
      <c r="K62" s="50">
        <f ca="1">IF(listeCreances[[#This Row],[Solde]]=0,"",TODAY()-J62)</f>
        <v>295</v>
      </c>
      <c r="L62" s="50" t="str">
        <f ca="1">IF(listeCreances[[#This Row],[Retard]]="","payé",IF(K62&lt;=0,"non échue",IF(K62&lt;=30,"échue[1,30]",IF(K62&lt;=60,"échue[31,60]",IF(K62&lt;=90,"échue[61,90]","échue&gt;90")))))</f>
        <v>échue&gt;90</v>
      </c>
      <c r="M62" s="50"/>
    </row>
    <row r="63" spans="3:13">
      <c r="C63" s="68" t="s">
        <v>132</v>
      </c>
      <c r="D63" s="52">
        <v>45385</v>
      </c>
      <c r="E63" s="50" t="s">
        <v>92</v>
      </c>
      <c r="F63" s="50">
        <v>30</v>
      </c>
      <c r="G63" s="51">
        <v>140</v>
      </c>
      <c r="H63" s="51">
        <f>SUMIF(réglement[N° de facture],listeCreances[[#This Row],[N° de facture]],réglement[Montant encaissé])</f>
        <v>10</v>
      </c>
      <c r="I63" s="51">
        <f>listeCreances[[#This Row],[Montant facturé]]-listeCreances[[#This Row],[Montant encaissé]]</f>
        <v>130</v>
      </c>
      <c r="J63" s="52">
        <f>listeCreances[[#This Row],[Date d''émission]]+listeCreances[[#This Row],[Délai de règlement]]</f>
        <v>45415</v>
      </c>
      <c r="K63" s="50">
        <f ca="1">IF(listeCreances[[#This Row],[Solde]]=0,"",TODAY()-J63)</f>
        <v>296</v>
      </c>
      <c r="L63" s="50" t="str">
        <f ca="1">IF(listeCreances[[#This Row],[Retard]]="","payé",IF(K63&lt;=0,"non échue",IF(K63&lt;=30,"échue[1,30]",IF(K63&lt;=60,"échue[31,60]",IF(K63&lt;=90,"échue[61,90]","échue&gt;90")))))</f>
        <v>échue&gt;90</v>
      </c>
      <c r="M63" s="50"/>
    </row>
    <row r="64" spans="3:13">
      <c r="C64" s="68" t="s">
        <v>131</v>
      </c>
      <c r="D64" s="52">
        <v>45386</v>
      </c>
      <c r="E64" s="50" t="s">
        <v>87</v>
      </c>
      <c r="F64" s="50">
        <v>15</v>
      </c>
      <c r="G64" s="51">
        <v>900</v>
      </c>
      <c r="H64" s="51">
        <f>SUMIF(réglement[N° de facture],listeCreances[[#This Row],[N° de facture]],réglement[Montant encaissé])</f>
        <v>250</v>
      </c>
      <c r="I64" s="51">
        <f>listeCreances[[#This Row],[Montant facturé]]-listeCreances[[#This Row],[Montant encaissé]]</f>
        <v>650</v>
      </c>
      <c r="J64" s="52">
        <f>listeCreances[[#This Row],[Date d''émission]]+listeCreances[[#This Row],[Délai de règlement]]</f>
        <v>45401</v>
      </c>
      <c r="K64" s="50">
        <f ca="1">IF(listeCreances[[#This Row],[Solde]]=0,"",TODAY()-J64)</f>
        <v>310</v>
      </c>
      <c r="L64" s="50" t="str">
        <f ca="1">IF(listeCreances[[#This Row],[Retard]]="","payé",IF(K64&lt;=0,"non échue",IF(K64&lt;=30,"échue[1,30]",IF(K64&lt;=60,"échue[31,60]",IF(K64&lt;=90,"échue[61,90]","échue&gt;90")))))</f>
        <v>échue&gt;90</v>
      </c>
      <c r="M64" s="50"/>
    </row>
    <row r="65" spans="3:13">
      <c r="C65" s="68" t="s">
        <v>130</v>
      </c>
      <c r="D65" s="52">
        <v>45337</v>
      </c>
      <c r="E65" s="50" t="s">
        <v>95</v>
      </c>
      <c r="F65" s="50">
        <v>60</v>
      </c>
      <c r="G65" s="51">
        <v>4000</v>
      </c>
      <c r="H65" s="51">
        <f>SUMIF(réglement[N° de facture],listeCreances[[#This Row],[N° de facture]],réglement[Montant encaissé])</f>
        <v>2500</v>
      </c>
      <c r="I65" s="51">
        <f>listeCreances[[#This Row],[Montant facturé]]-listeCreances[[#This Row],[Montant encaissé]]</f>
        <v>1500</v>
      </c>
      <c r="J65" s="52">
        <f>listeCreances[[#This Row],[Date d''émission]]+listeCreances[[#This Row],[Délai de règlement]]</f>
        <v>45397</v>
      </c>
      <c r="K65" s="50">
        <f ca="1">IF(listeCreances[[#This Row],[Solde]]=0,"",TODAY()-J65)</f>
        <v>314</v>
      </c>
      <c r="L65" s="50" t="str">
        <f ca="1">IF(listeCreances[[#This Row],[Retard]]="","payé",IF(K65&lt;=0,"non échue",IF(K65&lt;=30,"échue[1,30]",IF(K65&lt;=60,"échue[31,60]",IF(K65&lt;=90,"échue[61,90]","échue&gt;90")))))</f>
        <v>échue&gt;90</v>
      </c>
      <c r="M65" s="50"/>
    </row>
    <row r="66" spans="3:13">
      <c r="C66" s="68" t="s">
        <v>129</v>
      </c>
      <c r="D66" s="52">
        <v>45366</v>
      </c>
      <c r="E66" s="50" t="s">
        <v>96</v>
      </c>
      <c r="F66" s="50">
        <v>30</v>
      </c>
      <c r="G66" s="51">
        <v>20000</v>
      </c>
      <c r="H66" s="51">
        <f>SUMIF(réglement[N° de facture],listeCreances[[#This Row],[N° de facture]],réglement[Montant encaissé])</f>
        <v>8000</v>
      </c>
      <c r="I66" s="51">
        <f>listeCreances[[#This Row],[Montant facturé]]-listeCreances[[#This Row],[Montant encaissé]]</f>
        <v>12000</v>
      </c>
      <c r="J66" s="52">
        <f>listeCreances[[#This Row],[Date d''émission]]+listeCreances[[#This Row],[Délai de règlement]]</f>
        <v>45396</v>
      </c>
      <c r="K66" s="50">
        <f ca="1">IF(listeCreances[[#This Row],[Solde]]=0,"",TODAY()-J66)</f>
        <v>315</v>
      </c>
      <c r="L66" s="50" t="str">
        <f ca="1">IF(listeCreances[[#This Row],[Retard]]="","payé",IF(K66&lt;=0,"non échue",IF(K66&lt;=30,"échue[1,30]",IF(K66&lt;=60,"échue[31,60]",IF(K66&lt;=90,"échue[61,90]","échue&gt;90")))))</f>
        <v>échue&gt;90</v>
      </c>
      <c r="M66" s="50"/>
    </row>
    <row r="67" spans="3:13" hidden="1">
      <c r="C67" s="68" t="s">
        <v>128</v>
      </c>
      <c r="D67" s="52">
        <v>45354</v>
      </c>
      <c r="E67" s="50" t="s">
        <v>97</v>
      </c>
      <c r="F67" s="50">
        <v>40</v>
      </c>
      <c r="G67" s="51">
        <v>12000</v>
      </c>
      <c r="H67" s="51">
        <v>12000</v>
      </c>
      <c r="I67" s="51">
        <f>listeCreances[[#This Row],[Montant facturé]]-listeCreances[[#This Row],[Montant encaissé]]</f>
        <v>0</v>
      </c>
      <c r="J67" s="52">
        <f>listeCreances[[#This Row],[Date d''émission]]+listeCreances[[#This Row],[Délai de règlement]]</f>
        <v>45394</v>
      </c>
      <c r="K67" s="50" t="str">
        <f ca="1">IF(listeCreances[[#This Row],[Solde]]=0,"",TODAY()-J67)</f>
        <v/>
      </c>
      <c r="L67" s="50" t="str">
        <f ca="1">IF(listeCreances[[#This Row],[Retard]]="","payé",IF(K67&lt;=0,"non échue",IF(K67&lt;=30,"échue[1,30]",IF(K67&lt;=60,"échue[31,60]",IF(K67&lt;=90,"échue[61,90]","échue&gt;90")))))</f>
        <v>payé</v>
      </c>
      <c r="M67" s="50"/>
    </row>
    <row r="68" spans="3:13" hidden="1">
      <c r="C68" s="68" t="s">
        <v>127</v>
      </c>
      <c r="D68" s="52">
        <v>45355</v>
      </c>
      <c r="E68" s="50" t="s">
        <v>95</v>
      </c>
      <c r="F68" s="50">
        <v>30</v>
      </c>
      <c r="G68" s="51">
        <v>6000</v>
      </c>
      <c r="H68" s="51">
        <v>6000</v>
      </c>
      <c r="I68" s="51">
        <f>listeCreances[[#This Row],[Montant facturé]]-listeCreances[[#This Row],[Montant encaissé]]</f>
        <v>0</v>
      </c>
      <c r="J68" s="52">
        <f>listeCreances[[#This Row],[Date d''émission]]+listeCreances[[#This Row],[Délai de règlement]]</f>
        <v>45385</v>
      </c>
      <c r="K68" s="50" t="str">
        <f ca="1">IF(listeCreances[[#This Row],[Solde]]=0,"",TODAY()-J68)</f>
        <v/>
      </c>
      <c r="L68" s="50" t="str">
        <f ca="1">IF(listeCreances[[#This Row],[Retard]]="","payé",IF(K68&lt;=0,"non échue",IF(K68&lt;=30,"échue[1,30]",IF(K68&lt;=60,"échue[31,60]",IF(K68&lt;=90,"échue[61,90]","échue&gt;90")))))</f>
        <v>payé</v>
      </c>
      <c r="M68" s="50"/>
    </row>
    <row r="69" spans="3:13">
      <c r="C69" s="68" t="s">
        <v>126</v>
      </c>
      <c r="D69" s="52">
        <v>45324</v>
      </c>
      <c r="E69" s="50" t="s">
        <v>98</v>
      </c>
      <c r="F69" s="50">
        <v>60</v>
      </c>
      <c r="G69" s="51">
        <v>780</v>
      </c>
      <c r="H69" s="51">
        <f>SUMIF(réglement[N° de facture],listeCreances[[#This Row],[N° de facture]],réglement[Montant encaissé])</f>
        <v>200</v>
      </c>
      <c r="I69" s="51">
        <f>listeCreances[[#This Row],[Montant facturé]]-listeCreances[[#This Row],[Montant encaissé]]</f>
        <v>580</v>
      </c>
      <c r="J69" s="52">
        <f>listeCreances[[#This Row],[Date d''émission]]+listeCreances[[#This Row],[Délai de règlement]]</f>
        <v>45384</v>
      </c>
      <c r="K69" s="50">
        <f ca="1">IF(listeCreances[[#This Row],[Solde]]=0,"",TODAY()-J69)</f>
        <v>327</v>
      </c>
      <c r="L69" s="50" t="str">
        <f ca="1">IF(listeCreances[[#This Row],[Retard]]="","payé",IF(K69&lt;=0,"non échue",IF(K69&lt;=30,"échue[1,30]",IF(K69&lt;=60,"échue[31,60]",IF(K69&lt;=90,"échue[61,90]","échue&gt;90")))))</f>
        <v>échue&gt;90</v>
      </c>
      <c r="M69" s="50"/>
    </row>
    <row r="70" spans="3:13">
      <c r="C70" s="68" t="s">
        <v>125</v>
      </c>
      <c r="D70" s="52">
        <v>45355</v>
      </c>
      <c r="E70" s="50" t="s">
        <v>88</v>
      </c>
      <c r="F70" s="50">
        <v>30</v>
      </c>
      <c r="G70" s="51">
        <v>2000</v>
      </c>
      <c r="H70" s="51">
        <f>SUMIF(réglement[N° de facture],listeCreances[[#This Row],[N° de facture]],réglement[Montant encaissé])</f>
        <v>140</v>
      </c>
      <c r="I70" s="51">
        <f>listeCreances[[#This Row],[Montant facturé]]-listeCreances[[#This Row],[Montant encaissé]]</f>
        <v>1860</v>
      </c>
      <c r="J70" s="52">
        <f>listeCreances[[#This Row],[Date d''émission]]+listeCreances[[#This Row],[Délai de règlement]]</f>
        <v>45385</v>
      </c>
      <c r="K70" s="50">
        <f ca="1">IF(listeCreances[[#This Row],[Solde]]=0,"",TODAY()-J70)</f>
        <v>326</v>
      </c>
      <c r="L70" s="50" t="str">
        <f ca="1">IF(listeCreances[[#This Row],[Retard]]="","payé",IF(K70&lt;=0,"non échue",IF(K70&lt;=30,"échue[1,30]",IF(K70&lt;=60,"échue[31,60]",IF(K70&lt;=90,"échue[61,90]","échue&gt;90")))))</f>
        <v>échue&gt;90</v>
      </c>
      <c r="M70" s="50"/>
    </row>
    <row r="71" spans="3:13">
      <c r="C71" s="68" t="s">
        <v>124</v>
      </c>
      <c r="D71" s="52">
        <v>45354</v>
      </c>
      <c r="E71" s="50" t="s">
        <v>99</v>
      </c>
      <c r="F71" s="50">
        <v>30</v>
      </c>
      <c r="G71" s="51">
        <v>600</v>
      </c>
      <c r="H71" s="51">
        <f>SUMIF(réglement[N° de facture],listeCreances[[#This Row],[N° de facture]],réglement[Montant encaissé])</f>
        <v>200</v>
      </c>
      <c r="I71" s="51">
        <f>listeCreances[[#This Row],[Montant facturé]]-listeCreances[[#This Row],[Montant encaissé]]</f>
        <v>400</v>
      </c>
      <c r="J71" s="52">
        <f>listeCreances[[#This Row],[Date d''émission]]+listeCreances[[#This Row],[Délai de règlement]]</f>
        <v>45384</v>
      </c>
      <c r="K71" s="50">
        <f ca="1">IF(listeCreances[[#This Row],[Solde]]=0,"",TODAY()-J71)</f>
        <v>327</v>
      </c>
      <c r="L71" s="50" t="str">
        <f ca="1">IF(listeCreances[[#This Row],[Retard]]="","payé",IF(K71&lt;=0,"non échue",IF(K71&lt;=30,"échue[1,30]",IF(K71&lt;=60,"échue[31,60]",IF(K71&lt;=90,"échue[61,90]","échue&gt;90")))))</f>
        <v>échue&gt;90</v>
      </c>
      <c r="M71" s="50"/>
    </row>
    <row r="72" spans="3:13">
      <c r="C72" s="68" t="s">
        <v>123</v>
      </c>
      <c r="D72" s="52">
        <v>45353</v>
      </c>
      <c r="E72" s="50" t="s">
        <v>92</v>
      </c>
      <c r="F72" s="50">
        <v>30</v>
      </c>
      <c r="G72" s="51">
        <v>900</v>
      </c>
      <c r="H72" s="51">
        <f>SUMIF(réglement[N° de facture],listeCreances[[#This Row],[N° de facture]],réglement[Montant encaissé])</f>
        <v>150</v>
      </c>
      <c r="I72" s="51">
        <f>listeCreances[[#This Row],[Montant facturé]]-listeCreances[[#This Row],[Montant encaissé]]</f>
        <v>750</v>
      </c>
      <c r="J72" s="52">
        <f>listeCreances[[#This Row],[Date d''émission]]+listeCreances[[#This Row],[Délai de règlement]]</f>
        <v>45383</v>
      </c>
      <c r="K72" s="50">
        <f ca="1">IF(listeCreances[[#This Row],[Solde]]=0,"",TODAY()-J72)</f>
        <v>328</v>
      </c>
      <c r="L72" s="50" t="str">
        <f ca="1">IF(listeCreances[[#This Row],[Retard]]="","payé",IF(K72&lt;=0,"non échue",IF(K72&lt;=30,"échue[1,30]",IF(K72&lt;=60,"échue[31,60]",IF(K72&lt;=90,"échue[61,90]","échue&gt;90")))))</f>
        <v>échue&gt;90</v>
      </c>
      <c r="M72" s="50"/>
    </row>
    <row r="73" spans="3:13">
      <c r="C73" s="68" t="s">
        <v>122</v>
      </c>
      <c r="D73" s="52">
        <v>45325</v>
      </c>
      <c r="E73" s="50" t="s">
        <v>86</v>
      </c>
      <c r="F73" s="50">
        <v>50</v>
      </c>
      <c r="G73" s="51">
        <v>120</v>
      </c>
      <c r="H73" s="51">
        <f>SUMIF(réglement[N° de facture],listeCreances[[#This Row],[N° de facture]],réglement[Montant encaissé])</f>
        <v>60</v>
      </c>
      <c r="I73" s="51">
        <f>listeCreances[[#This Row],[Montant facturé]]-listeCreances[[#This Row],[Montant encaissé]]</f>
        <v>60</v>
      </c>
      <c r="J73" s="52">
        <f>listeCreances[[#This Row],[Date d''émission]]+listeCreances[[#This Row],[Délai de règlement]]</f>
        <v>45375</v>
      </c>
      <c r="K73" s="50">
        <f ca="1">IF(listeCreances[[#This Row],[Solde]]=0,"",TODAY()-J73)</f>
        <v>336</v>
      </c>
      <c r="L73" s="50" t="str">
        <f ca="1">IF(listeCreances[[#This Row],[Retard]]="","payé",IF(K73&lt;=0,"non échue",IF(K73&lt;=30,"échue[1,30]",IF(K73&lt;=60,"échue[31,60]",IF(K73&lt;=90,"échue[61,90]","échue&gt;90")))))</f>
        <v>échue&gt;90</v>
      </c>
      <c r="M73" s="50"/>
    </row>
    <row r="74" spans="3:13">
      <c r="C74" s="68" t="s">
        <v>121</v>
      </c>
      <c r="D74" s="52">
        <v>45344</v>
      </c>
      <c r="E74" s="50" t="s">
        <v>93</v>
      </c>
      <c r="F74" s="50">
        <v>30</v>
      </c>
      <c r="G74" s="51">
        <v>1500</v>
      </c>
      <c r="H74" s="51">
        <f>SUMIF(réglement[N° de facture],listeCreances[[#This Row],[N° de facture]],réglement[Montant encaissé])</f>
        <v>500</v>
      </c>
      <c r="I74" s="51">
        <f>listeCreances[[#This Row],[Montant facturé]]-listeCreances[[#This Row],[Montant encaissé]]</f>
        <v>1000</v>
      </c>
      <c r="J74" s="52">
        <f>listeCreances[[#This Row],[Date d''émission]]+listeCreances[[#This Row],[Délai de règlement]]</f>
        <v>45374</v>
      </c>
      <c r="K74" s="50">
        <f ca="1">IF(listeCreances[[#This Row],[Solde]]=0,"",TODAY()-J74)</f>
        <v>337</v>
      </c>
      <c r="L74" s="50" t="str">
        <f ca="1">IF(listeCreances[[#This Row],[Retard]]="","payé",IF(K74&lt;=0,"non échue",IF(K74&lt;=30,"échue[1,30]",IF(K74&lt;=60,"échue[31,60]",IF(K74&lt;=90,"échue[61,90]","échue&gt;90")))))</f>
        <v>échue&gt;90</v>
      </c>
      <c r="M74" s="50"/>
    </row>
    <row r="75" spans="3:13" hidden="1">
      <c r="C75" s="68" t="s">
        <v>120</v>
      </c>
      <c r="D75" s="52">
        <v>45324</v>
      </c>
      <c r="E75" s="50" t="s">
        <v>94</v>
      </c>
      <c r="F75" s="50">
        <v>45</v>
      </c>
      <c r="G75" s="51">
        <v>1300</v>
      </c>
      <c r="H75" s="51">
        <v>1300</v>
      </c>
      <c r="I75" s="51">
        <f>listeCreances[[#This Row],[Montant facturé]]-listeCreances[[#This Row],[Montant encaissé]]</f>
        <v>0</v>
      </c>
      <c r="J75" s="52">
        <f>listeCreances[[#This Row],[Date d''émission]]+listeCreances[[#This Row],[Délai de règlement]]</f>
        <v>45369</v>
      </c>
      <c r="K75" s="50" t="str">
        <f ca="1">IF(listeCreances[[#This Row],[Solde]]=0,"",TODAY()-J75)</f>
        <v/>
      </c>
      <c r="L75" s="50" t="str">
        <f ca="1">IF(listeCreances[[#This Row],[Retard]]="","payé",IF(K75&lt;=0,"non échue",IF(K75&lt;=30,"échue[1,30]",IF(K75&lt;=60,"échue[31,60]",IF(K75&lt;=90,"échue[61,90]","échue&gt;90")))))</f>
        <v>payé</v>
      </c>
      <c r="M75" s="50"/>
    </row>
    <row r="76" spans="3:13">
      <c r="C76" s="68" t="s">
        <v>119</v>
      </c>
      <c r="D76" s="52">
        <v>45324</v>
      </c>
      <c r="E76" s="50" t="s">
        <v>97</v>
      </c>
      <c r="F76" s="50">
        <v>40</v>
      </c>
      <c r="G76" s="51">
        <v>460</v>
      </c>
      <c r="H76" s="51">
        <f>SUMIF(réglement[N° de facture],listeCreances[[#This Row],[N° de facture]],réglement[Montant encaissé])</f>
        <v>400</v>
      </c>
      <c r="I76" s="51">
        <f>listeCreances[[#This Row],[Montant facturé]]-listeCreances[[#This Row],[Montant encaissé]]</f>
        <v>60</v>
      </c>
      <c r="J76" s="52">
        <f>listeCreances[[#This Row],[Date d''émission]]+listeCreances[[#This Row],[Délai de règlement]]</f>
        <v>45364</v>
      </c>
      <c r="K76" s="50">
        <f ca="1">IF(listeCreances[[#This Row],[Solde]]=0,"",TODAY()-J76)</f>
        <v>347</v>
      </c>
      <c r="L76" s="50" t="str">
        <f ca="1">IF(listeCreances[[#This Row],[Retard]]="","payé",IF(K76&lt;=0,"non échue",IF(K76&lt;=30,"échue[1,30]",IF(K76&lt;=60,"échue[31,60]",IF(K76&lt;=90,"échue[61,90]","échue&gt;90")))))</f>
        <v>échue&gt;90</v>
      </c>
      <c r="M76" s="50"/>
    </row>
    <row r="77" spans="3:13">
      <c r="C77" s="68" t="s">
        <v>118</v>
      </c>
      <c r="D77" s="52">
        <v>45295</v>
      </c>
      <c r="E77" s="50" t="s">
        <v>91</v>
      </c>
      <c r="F77" s="50">
        <v>60</v>
      </c>
      <c r="G77" s="51">
        <v>750</v>
      </c>
      <c r="H77" s="51">
        <f>SUMIF(réglement[N° de facture],listeCreances[[#This Row],[N° de facture]],réglement[Montant encaissé])</f>
        <v>100</v>
      </c>
      <c r="I77" s="51">
        <f>listeCreances[[#This Row],[Montant facturé]]-listeCreances[[#This Row],[Montant encaissé]]</f>
        <v>650</v>
      </c>
      <c r="J77" s="52">
        <f>listeCreances[[#This Row],[Date d''émission]]+listeCreances[[#This Row],[Délai de règlement]]</f>
        <v>45355</v>
      </c>
      <c r="K77" s="50">
        <f ca="1">IF(listeCreances[[#This Row],[Solde]]=0,"",TODAY()-J77)</f>
        <v>356</v>
      </c>
      <c r="L77" s="50" t="str">
        <f ca="1">IF(listeCreances[[#This Row],[Retard]]="","payé",IF(K77&lt;=0,"non échue",IF(K77&lt;=30,"échue[1,30]",IF(K77&lt;=60,"échue[31,60]",IF(K77&lt;=90,"échue[61,90]","échue&gt;90")))))</f>
        <v>échue&gt;90</v>
      </c>
      <c r="M77" s="50"/>
    </row>
    <row r="78" spans="3:13">
      <c r="C78" s="68" t="s">
        <v>117</v>
      </c>
      <c r="D78" s="52">
        <v>45304</v>
      </c>
      <c r="E78" s="50" t="s">
        <v>97</v>
      </c>
      <c r="F78" s="50">
        <v>45</v>
      </c>
      <c r="G78" s="51">
        <v>1400</v>
      </c>
      <c r="H78" s="51">
        <f>SUMIF(réglement[N° de facture],listeCreances[[#This Row],[N° de facture]],réglement[Montant encaissé])</f>
        <v>700</v>
      </c>
      <c r="I78" s="51">
        <f>listeCreances[[#This Row],[Montant facturé]]-listeCreances[[#This Row],[Montant encaissé]]</f>
        <v>700</v>
      </c>
      <c r="J78" s="52">
        <f>listeCreances[[#This Row],[Date d''émission]]+listeCreances[[#This Row],[Délai de règlement]]</f>
        <v>45349</v>
      </c>
      <c r="K78" s="50">
        <f ca="1">IF(listeCreances[[#This Row],[Solde]]=0,"",TODAY()-J78)</f>
        <v>362</v>
      </c>
      <c r="L78" s="50" t="str">
        <f ca="1">IF(listeCreances[[#This Row],[Retard]]="","payé",IF(K78&lt;=0,"non échue",IF(K78&lt;=30,"échue[1,30]",IF(K78&lt;=60,"échue[31,60]",IF(K78&lt;=90,"échue[61,90]","échue&gt;90")))))</f>
        <v>échue&gt;90</v>
      </c>
      <c r="M78" s="50"/>
    </row>
    <row r="79" spans="3:13">
      <c r="C79" s="68" t="s">
        <v>116</v>
      </c>
      <c r="D79" s="52">
        <v>45311</v>
      </c>
      <c r="E79" s="50" t="s">
        <v>98</v>
      </c>
      <c r="F79" s="50">
        <v>30</v>
      </c>
      <c r="G79" s="51">
        <v>1000</v>
      </c>
      <c r="H79" s="51">
        <f>SUMIF(réglement[N° de facture],listeCreances[[#This Row],[N° de facture]],réglement[Montant encaissé])</f>
        <v>800</v>
      </c>
      <c r="I79" s="51">
        <f>listeCreances[[#This Row],[Montant facturé]]-listeCreances[[#This Row],[Montant encaissé]]</f>
        <v>200</v>
      </c>
      <c r="J79" s="52">
        <f>listeCreances[[#This Row],[Date d''émission]]+listeCreances[[#This Row],[Délai de règlement]]</f>
        <v>45341</v>
      </c>
      <c r="K79" s="50">
        <f ca="1">IF(listeCreances[[#This Row],[Solde]]=0,"",TODAY()-J79)</f>
        <v>370</v>
      </c>
      <c r="L79" s="50" t="str">
        <f ca="1">IF(listeCreances[[#This Row],[Retard]]="","payé",IF(K79&lt;=0,"non échue",IF(K79&lt;=30,"échue[1,30]",IF(K79&lt;=60,"échue[31,60]",IF(K79&lt;=90,"échue[61,90]","échue&gt;90")))))</f>
        <v>échue&gt;90</v>
      </c>
      <c r="M79" s="50"/>
    </row>
    <row r="80" spans="3:13" hidden="1">
      <c r="C80" s="68" t="s">
        <v>115</v>
      </c>
      <c r="D80" s="52">
        <v>45303</v>
      </c>
      <c r="E80" s="50" t="s">
        <v>93</v>
      </c>
      <c r="F80" s="50">
        <v>30</v>
      </c>
      <c r="G80" s="51">
        <v>4000</v>
      </c>
      <c r="H80" s="51">
        <v>4000</v>
      </c>
      <c r="I80" s="51">
        <f>listeCreances[[#This Row],[Montant facturé]]-listeCreances[[#This Row],[Montant encaissé]]</f>
        <v>0</v>
      </c>
      <c r="J80" s="52">
        <f>listeCreances[[#This Row],[Date d''émission]]+listeCreances[[#This Row],[Délai de règlement]]</f>
        <v>45333</v>
      </c>
      <c r="K80" s="50" t="str">
        <f ca="1">IF(listeCreances[[#This Row],[Solde]]=0,"",TODAY()-J80)</f>
        <v/>
      </c>
      <c r="L80" s="50" t="str">
        <f ca="1">IF(listeCreances[[#This Row],[Retard]]="","payé",IF(K80&lt;=0,"non échue",IF(K80&lt;=30,"échue[1,30]",IF(K80&lt;=60,"échue[31,60]",IF(K80&lt;=90,"échue[61,90]","échue&gt;90")))))</f>
        <v>payé</v>
      </c>
      <c r="M80" s="50"/>
    </row>
    <row r="81" spans="3:13">
      <c r="C81" s="68" t="s">
        <v>114</v>
      </c>
      <c r="D81" s="52">
        <v>45611</v>
      </c>
      <c r="E81" s="50" t="s">
        <v>91</v>
      </c>
      <c r="F81" s="50">
        <v>35</v>
      </c>
      <c r="G81" s="51">
        <v>1200</v>
      </c>
      <c r="H81" s="51">
        <f>SUMIF(réglement[N° de facture],listeCreances[[#This Row],[N° de facture]],réglement[Montant encaissé])</f>
        <v>100</v>
      </c>
      <c r="I81" s="51">
        <f>listeCreances[[#This Row],[Montant facturé]]-listeCreances[[#This Row],[Montant encaissé]]</f>
        <v>1100</v>
      </c>
      <c r="J81" s="52">
        <f>listeCreances[[#This Row],[Date d''émission]]+listeCreances[[#This Row],[Délai de règlement]]</f>
        <v>45646</v>
      </c>
      <c r="K81" s="50">
        <f ca="1">IF(listeCreances[[#This Row],[Solde]]=0,"",TODAY()-J81)</f>
        <v>65</v>
      </c>
      <c r="L81" s="50" t="str">
        <f ca="1">IF(listeCreances[[#This Row],[Retard]]="","payé",IF(K81&lt;=0,"non échue",IF(K81&lt;=30,"échue[1,30]",IF(K81&lt;=60,"échue[31,60]",IF(K81&lt;=90,"échue[61,90]","échue&gt;90")))))</f>
        <v>échue[61,90]</v>
      </c>
      <c r="M81" s="50"/>
    </row>
    <row r="82" spans="3:13">
      <c r="C82" s="68" t="s">
        <v>113</v>
      </c>
      <c r="D82" s="52">
        <v>45386</v>
      </c>
      <c r="E82" s="50" t="s">
        <v>85</v>
      </c>
      <c r="F82" s="50">
        <v>30</v>
      </c>
      <c r="G82" s="51">
        <v>500</v>
      </c>
      <c r="H82" s="51">
        <f>SUMIF(réglement[N° de facture],listeCreances[[#This Row],[N° de facture]],réglement[Montant encaissé])</f>
        <v>450</v>
      </c>
      <c r="I82" s="51">
        <f>listeCreances[[#This Row],[Montant facturé]]-listeCreances[[#This Row],[Montant encaissé]]</f>
        <v>50</v>
      </c>
      <c r="J82" s="52">
        <f>listeCreances[[#This Row],[Date d''émission]]+listeCreances[[#This Row],[Délai de règlement]]</f>
        <v>45416</v>
      </c>
      <c r="K82" s="50">
        <f ca="1">IF(listeCreances[[#This Row],[Solde]]=0,"",TODAY()-J82)</f>
        <v>295</v>
      </c>
      <c r="L82" s="50" t="str">
        <f ca="1">IF(listeCreances[[#This Row],[Retard]]="","payé",IF(K82&lt;=0,"non échue",IF(K82&lt;=30,"échue[1,30]",IF(K82&lt;=60,"échue[31,60]",IF(K82&lt;=90,"échue[61,90]","échue&gt;90")))))</f>
        <v>échue&gt;90</v>
      </c>
      <c r="M82" s="50"/>
    </row>
    <row r="83" spans="3:13" hidden="1">
      <c r="C83" s="68" t="s">
        <v>112</v>
      </c>
      <c r="D83" s="52">
        <v>45427</v>
      </c>
      <c r="E83" s="50" t="s">
        <v>93</v>
      </c>
      <c r="F83" s="50">
        <v>45</v>
      </c>
      <c r="G83" s="51">
        <v>150</v>
      </c>
      <c r="H83" s="51">
        <f>SUMIF(réglement[N° de facture],listeCreances[[#This Row],[N° de facture]],réglement[Montant encaissé])</f>
        <v>150</v>
      </c>
      <c r="I83" s="51">
        <f>listeCreances[[#This Row],[Montant facturé]]-listeCreances[[#This Row],[Montant encaissé]]</f>
        <v>0</v>
      </c>
      <c r="J83" s="52">
        <f>listeCreances[[#This Row],[Date d''émission]]+listeCreances[[#This Row],[Délai de règlement]]</f>
        <v>45472</v>
      </c>
      <c r="K83" s="50" t="str">
        <f ca="1">IF(listeCreances[[#This Row],[Solde]]=0,"",TODAY()-J83)</f>
        <v/>
      </c>
      <c r="L83" s="50" t="str">
        <f ca="1">IF(listeCreances[[#This Row],[Retard]]="","payé",IF(K83&lt;=0,"non échue",IF(K83&lt;=30,"échue[1,30]",IF(K83&lt;=60,"échue[31,60]",IF(K83&lt;=90,"échue[61,90]","échue&gt;90")))))</f>
        <v>payé</v>
      </c>
      <c r="M83" s="50"/>
    </row>
    <row r="84" spans="3:13">
      <c r="C84" s="68" t="s">
        <v>111</v>
      </c>
      <c r="D84" s="52">
        <v>45402</v>
      </c>
      <c r="E84" s="50" t="s">
        <v>99</v>
      </c>
      <c r="F84" s="50">
        <v>60</v>
      </c>
      <c r="G84" s="51">
        <v>600</v>
      </c>
      <c r="H84" s="51">
        <f>SUMIF(réglement[N° de facture],listeCreances[[#This Row],[N° de facture]],réglement[Montant encaissé])</f>
        <v>400</v>
      </c>
      <c r="I84" s="51">
        <f>listeCreances[[#This Row],[Montant facturé]]-listeCreances[[#This Row],[Montant encaissé]]</f>
        <v>200</v>
      </c>
      <c r="J84" s="52">
        <f>listeCreances[[#This Row],[Date d''émission]]+listeCreances[[#This Row],[Délai de règlement]]</f>
        <v>45462</v>
      </c>
      <c r="K84" s="50">
        <f ca="1">IF(listeCreances[[#This Row],[Solde]]=0,"",TODAY()-J84)</f>
        <v>249</v>
      </c>
      <c r="L84" s="50" t="str">
        <f ca="1">IF(listeCreances[[#This Row],[Retard]]="","payé",IF(K84&lt;=0,"non échue",IF(K84&lt;=30,"échue[1,30]",IF(K84&lt;=60,"échue[31,60]",IF(K84&lt;=90,"échue[61,90]","échue&gt;90")))))</f>
        <v>échue&gt;90</v>
      </c>
      <c r="M84" s="50"/>
    </row>
    <row r="85" spans="3:13">
      <c r="C85" s="68" t="s">
        <v>110</v>
      </c>
      <c r="D85" s="52">
        <v>45384</v>
      </c>
      <c r="E85" s="50" t="s">
        <v>91</v>
      </c>
      <c r="F85" s="50">
        <v>30</v>
      </c>
      <c r="G85" s="51">
        <v>950</v>
      </c>
      <c r="H85" s="51">
        <f>SUMIF(réglement[N° de facture],listeCreances[[#This Row],[N° de facture]],réglement[Montant encaissé])</f>
        <v>600</v>
      </c>
      <c r="I85" s="51">
        <f>listeCreances[[#This Row],[Montant facturé]]-listeCreances[[#This Row],[Montant encaissé]]</f>
        <v>350</v>
      </c>
      <c r="J85" s="52">
        <f>listeCreances[[#This Row],[Date d''émission]]+listeCreances[[#This Row],[Délai de règlement]]</f>
        <v>45414</v>
      </c>
      <c r="K85" s="50">
        <f ca="1">IF(listeCreances[[#This Row],[Solde]]=0,"",TODAY()-J85)</f>
        <v>297</v>
      </c>
      <c r="L85" s="50" t="str">
        <f ca="1">IF(listeCreances[[#This Row],[Retard]]="","payé",IF(K85&lt;=0,"non échue",IF(K85&lt;=30,"échue[1,30]",IF(K85&lt;=60,"échue[31,60]",IF(K85&lt;=90,"échue[61,90]","échue&gt;90")))))</f>
        <v>échue&gt;90</v>
      </c>
      <c r="M85" s="50"/>
    </row>
    <row r="86" spans="3:13">
      <c r="C86" s="68" t="s">
        <v>109</v>
      </c>
      <c r="D86" s="52">
        <v>45354</v>
      </c>
      <c r="E86" s="50" t="s">
        <v>87</v>
      </c>
      <c r="F86" s="50">
        <v>30</v>
      </c>
      <c r="G86" s="51">
        <v>800</v>
      </c>
      <c r="H86" s="51">
        <f>SUMIF(réglement[N° de facture],listeCreances[[#This Row],[N° de facture]],réglement[Montant encaissé])</f>
        <v>200</v>
      </c>
      <c r="I86" s="51">
        <f>listeCreances[[#This Row],[Montant facturé]]-listeCreances[[#This Row],[Montant encaissé]]</f>
        <v>600</v>
      </c>
      <c r="J86" s="52">
        <f>listeCreances[[#This Row],[Date d''émission]]+listeCreances[[#This Row],[Délai de règlement]]</f>
        <v>45384</v>
      </c>
      <c r="K86" s="50">
        <f ca="1">IF(listeCreances[[#This Row],[Solde]]=0,"",TODAY()-J86)</f>
        <v>327</v>
      </c>
      <c r="L86" s="50" t="str">
        <f ca="1">IF(listeCreances[[#This Row],[Retard]]="","payé",IF(K86&lt;=0,"non échue",IF(K86&lt;=30,"échue[1,30]",IF(K86&lt;=60,"échue[31,60]",IF(K86&lt;=90,"échue[61,90]","échue&gt;90")))))</f>
        <v>échue&gt;90</v>
      </c>
      <c r="M86" s="50"/>
    </row>
    <row r="87" spans="3:13">
      <c r="C87" s="68" t="s">
        <v>108</v>
      </c>
      <c r="D87" s="52">
        <v>45638</v>
      </c>
      <c r="E87" s="50" t="s">
        <v>89</v>
      </c>
      <c r="F87" s="50">
        <v>30</v>
      </c>
      <c r="G87" s="51">
        <v>800</v>
      </c>
      <c r="H87" s="51">
        <f>SUMIF(réglement[N° de facture],listeCreances[[#This Row],[N° de facture]],réglement[Montant encaissé])</f>
        <v>300</v>
      </c>
      <c r="I87" s="51">
        <f>listeCreances[[#This Row],[Montant facturé]]-listeCreances[[#This Row],[Montant encaissé]]</f>
        <v>500</v>
      </c>
      <c r="J87" s="52">
        <f>listeCreances[[#This Row],[Date d''émission]]+listeCreances[[#This Row],[Délai de règlement]]</f>
        <v>45668</v>
      </c>
      <c r="K87" s="50">
        <f ca="1">IF(listeCreances[[#This Row],[Solde]]=0,"",TODAY()-J87)</f>
        <v>43</v>
      </c>
      <c r="L87" s="50" t="str">
        <f ca="1">IF(listeCreances[[#This Row],[Retard]]="","payé",IF(K87&lt;=0,"non échue",IF(K87&lt;=30,"échue[1,30]",IF(K87&lt;=60,"échue[31,60]",IF(K87&lt;=90,"échue[61,90]","échue&gt;90")))))</f>
        <v>échue[31,60]</v>
      </c>
      <c r="M87" s="50"/>
    </row>
    <row r="88" spans="3:13">
      <c r="C88" s="68" t="s">
        <v>107</v>
      </c>
      <c r="D88" s="52">
        <v>45575</v>
      </c>
      <c r="E88" s="50" t="s">
        <v>86</v>
      </c>
      <c r="F88" s="50">
        <v>60</v>
      </c>
      <c r="G88" s="51">
        <v>2000</v>
      </c>
      <c r="H88" s="51">
        <f>SUMIF(réglement[N° de facture],listeCreances[[#This Row],[N° de facture]],réglement[Montant encaissé])</f>
        <v>1000</v>
      </c>
      <c r="I88" s="51">
        <f>listeCreances[[#This Row],[Montant facturé]]-listeCreances[[#This Row],[Montant encaissé]]</f>
        <v>1000</v>
      </c>
      <c r="J88" s="52">
        <f>listeCreances[[#This Row],[Date d''émission]]+listeCreances[[#This Row],[Délai de règlement]]</f>
        <v>45635</v>
      </c>
      <c r="K88" s="50">
        <f ca="1">IF(listeCreances[[#This Row],[Solde]]=0,"",TODAY()-J88)</f>
        <v>76</v>
      </c>
      <c r="L88" s="50" t="str">
        <f ca="1">IF(listeCreances[[#This Row],[Retard]]="","payé",IF(K88&lt;=0,"non échue",IF(K88&lt;=30,"échue[1,30]",IF(K88&lt;=60,"échue[31,60]",IF(K88&lt;=90,"échue[61,90]","échue&gt;90")))))</f>
        <v>échue[61,90]</v>
      </c>
      <c r="M88" s="50"/>
    </row>
    <row r="89" spans="3:13">
      <c r="C89" s="68" t="s">
        <v>106</v>
      </c>
      <c r="D89" s="52">
        <v>45354</v>
      </c>
      <c r="E89" s="50" t="s">
        <v>96</v>
      </c>
      <c r="F89" s="50">
        <v>35</v>
      </c>
      <c r="G89" s="51">
        <v>750</v>
      </c>
      <c r="H89" s="51">
        <f>SUMIF(réglement[N° de facture],listeCreances[[#This Row],[N° de facture]],réglement[Montant encaissé])</f>
        <v>600</v>
      </c>
      <c r="I89" s="51">
        <f>listeCreances[[#This Row],[Montant facturé]]-listeCreances[[#This Row],[Montant encaissé]]</f>
        <v>150</v>
      </c>
      <c r="J89" s="52">
        <f>listeCreances[[#This Row],[Date d''émission]]+listeCreances[[#This Row],[Délai de règlement]]</f>
        <v>45389</v>
      </c>
      <c r="K89" s="50">
        <f ca="1">IF(listeCreances[[#This Row],[Solde]]=0,"",TODAY()-J89)</f>
        <v>322</v>
      </c>
      <c r="L89" s="50" t="str">
        <f ca="1">IF(listeCreances[[#This Row],[Retard]]="","payé",IF(K89&lt;=0,"non échue",IF(K89&lt;=30,"échue[1,30]",IF(K89&lt;=60,"échue[31,60]",IF(K89&lt;=90,"échue[61,90]","échue&gt;90")))))</f>
        <v>échue&gt;90</v>
      </c>
      <c r="M89" s="50"/>
    </row>
    <row r="90" spans="3:13">
      <c r="C90" s="68" t="s">
        <v>105</v>
      </c>
      <c r="D90" s="52">
        <v>45607</v>
      </c>
      <c r="E90" s="50" t="s">
        <v>94</v>
      </c>
      <c r="F90" s="50">
        <v>60</v>
      </c>
      <c r="G90" s="51">
        <v>2500</v>
      </c>
      <c r="H90" s="51">
        <f>SUMIF(réglement[N° de facture],listeCreances[[#This Row],[N° de facture]],réglement[Montant encaissé])</f>
        <v>1000</v>
      </c>
      <c r="I90" s="51">
        <f>listeCreances[[#This Row],[Montant facturé]]-listeCreances[[#This Row],[Montant encaissé]]</f>
        <v>1500</v>
      </c>
      <c r="J90" s="52">
        <f>listeCreances[[#This Row],[Date d''émission]]+listeCreances[[#This Row],[Délai de règlement]]</f>
        <v>45667</v>
      </c>
      <c r="K90" s="50">
        <f ca="1">IF(listeCreances[[#This Row],[Solde]]=0,"",TODAY()-J90)</f>
        <v>44</v>
      </c>
      <c r="L90" s="50" t="str">
        <f ca="1">IF(listeCreances[[#This Row],[Retard]]="","payé",IF(K90&lt;=0,"non échue",IF(K90&lt;=30,"échue[1,30]",IF(K90&lt;=60,"échue[31,60]",IF(K90&lt;=90,"échue[61,90]","échue&gt;90")))))</f>
        <v>échue[31,60]</v>
      </c>
      <c r="M90" s="50"/>
    </row>
    <row r="91" spans="3:13">
      <c r="C91" s="68" t="s">
        <v>104</v>
      </c>
      <c r="D91" s="52">
        <v>45311</v>
      </c>
      <c r="E91" s="50" t="s">
        <v>97</v>
      </c>
      <c r="F91" s="50">
        <v>40</v>
      </c>
      <c r="G91" s="51">
        <v>20000</v>
      </c>
      <c r="H91" s="51">
        <f>SUMIF(réglement[N° de facture],listeCreances[[#This Row],[N° de facture]],réglement[Montant encaissé])</f>
        <v>1300</v>
      </c>
      <c r="I91" s="51">
        <f>listeCreances[[#This Row],[Montant facturé]]-listeCreances[[#This Row],[Montant encaissé]]</f>
        <v>18700</v>
      </c>
      <c r="J91" s="52">
        <f>listeCreances[[#This Row],[Date d''émission]]+listeCreances[[#This Row],[Délai de règlement]]</f>
        <v>45351</v>
      </c>
      <c r="K91" s="50">
        <f ca="1">IF(listeCreances[[#This Row],[Solde]]=0,"",TODAY()-J91)</f>
        <v>360</v>
      </c>
      <c r="L91" s="50" t="str">
        <f ca="1">IF(listeCreances[[#This Row],[Retard]]="","payé",IF(K91&lt;=0,"non échue",IF(K91&lt;=30,"échue[1,30]",IF(K91&lt;=60,"échue[31,60]",IF(K91&lt;=90,"échue[61,90]","échue&gt;90")))))</f>
        <v>échue&gt;90</v>
      </c>
      <c r="M91" s="50"/>
    </row>
    <row r="92" spans="3:13">
      <c r="C92" s="68" t="s">
        <v>103</v>
      </c>
      <c r="D92" s="52">
        <v>45638</v>
      </c>
      <c r="E92" s="50" t="s">
        <v>92</v>
      </c>
      <c r="F92" s="50">
        <v>30</v>
      </c>
      <c r="G92" s="51">
        <v>600</v>
      </c>
      <c r="H92" s="51">
        <f>SUMIF(réglement[N° de facture],listeCreances[[#This Row],[N° de facture]],réglement[Montant encaissé])</f>
        <v>400</v>
      </c>
      <c r="I92" s="51">
        <f>listeCreances[[#This Row],[Montant facturé]]-listeCreances[[#This Row],[Montant encaissé]]</f>
        <v>200</v>
      </c>
      <c r="J92" s="52">
        <f>listeCreances[[#This Row],[Date d''émission]]+listeCreances[[#This Row],[Délai de règlement]]</f>
        <v>45668</v>
      </c>
      <c r="K92" s="50">
        <f ca="1">IF(listeCreances[[#This Row],[Solde]]=0,"",TODAY()-J92)</f>
        <v>43</v>
      </c>
      <c r="L92" s="50" t="str">
        <f ca="1">IF(listeCreances[[#This Row],[Retard]]="","payé",IF(K92&lt;=0,"non échue",IF(K92&lt;=30,"échue[1,30]",IF(K92&lt;=60,"échue[31,60]",IF(K92&lt;=90,"échue[61,90]","échue&gt;90")))))</f>
        <v>échue[31,60]</v>
      </c>
      <c r="M92" s="50"/>
    </row>
    <row r="93" spans="3:13">
      <c r="C93" s="68" t="s">
        <v>102</v>
      </c>
      <c r="D93" s="52">
        <v>45607</v>
      </c>
      <c r="E93" s="50" t="s">
        <v>85</v>
      </c>
      <c r="F93" s="50">
        <v>60</v>
      </c>
      <c r="G93" s="51">
        <v>5000</v>
      </c>
      <c r="H93" s="51">
        <f>SUMIF(réglement[N° de facture],listeCreances[[#This Row],[N° de facture]],réglement[Montant encaissé])</f>
        <v>2000</v>
      </c>
      <c r="I93" s="51">
        <f>listeCreances[[#This Row],[Montant facturé]]-listeCreances[[#This Row],[Montant encaissé]]</f>
        <v>3000</v>
      </c>
      <c r="J93" s="52">
        <f>listeCreances[[#This Row],[Date d''émission]]+listeCreances[[#This Row],[Délai de règlement]]</f>
        <v>45667</v>
      </c>
      <c r="K93" s="50">
        <f ca="1">IF(listeCreances[[#This Row],[Solde]]=0,"",TODAY()-J93)</f>
        <v>44</v>
      </c>
      <c r="L93" s="50" t="str">
        <f ca="1">IF(listeCreances[[#This Row],[Retard]]="","payé",IF(K93&lt;=0,"non échue",IF(K93&lt;=30,"échue[1,30]",IF(K93&lt;=60,"échue[31,60]",IF(K93&lt;=90,"échue[61,90]","échue&gt;90")))))</f>
        <v>échue[31,60]</v>
      </c>
      <c r="M93" s="50"/>
    </row>
    <row r="94" spans="3:13" hidden="1">
      <c r="C94" s="68" t="s">
        <v>101</v>
      </c>
      <c r="D94" s="52">
        <v>45293</v>
      </c>
      <c r="E94" s="50" t="s">
        <v>90</v>
      </c>
      <c r="F94" s="50">
        <v>30</v>
      </c>
      <c r="G94" s="51">
        <v>1000</v>
      </c>
      <c r="H94" s="51">
        <f>SUMIF(réglement[N° de facture],listeCreances[[#This Row],[N° de facture]],réglement[Montant encaissé])</f>
        <v>1000</v>
      </c>
      <c r="I94" s="51">
        <f>listeCreances[[#This Row],[Montant facturé]]-listeCreances[[#This Row],[Montant encaissé]]</f>
        <v>0</v>
      </c>
      <c r="J94" s="52">
        <f>listeCreances[[#This Row],[Date d''émission]]+listeCreances[[#This Row],[Délai de règlement]]</f>
        <v>45323</v>
      </c>
      <c r="K94" s="50" t="str">
        <f ca="1">IF(listeCreances[[#This Row],[Solde]]=0,"",TODAY()-J94)</f>
        <v/>
      </c>
      <c r="L94" s="50" t="str">
        <f ca="1">IF(listeCreances[[#This Row],[Retard]]="","payé",IF(K94&lt;=0,"non échue",IF(K94&lt;=30,"échue[1,30]",IF(K94&lt;=60,"échue[31,60]",IF(K94&lt;=90,"échue[61,90]","échue&gt;90")))))</f>
        <v>payé</v>
      </c>
      <c r="M94" s="50"/>
    </row>
    <row r="95" spans="3:13">
      <c r="C95" s="68" t="s">
        <v>100</v>
      </c>
      <c r="D95" s="52">
        <v>45324</v>
      </c>
      <c r="E95" s="50" t="s">
        <v>87</v>
      </c>
      <c r="F95" s="50">
        <v>15</v>
      </c>
      <c r="G95" s="51">
        <v>3000</v>
      </c>
      <c r="H95" s="51">
        <f>SUMIF(réglement[N° de facture],listeCreances[[#This Row],[N° de facture]],réglement[Montant encaissé])</f>
        <v>1500</v>
      </c>
      <c r="I95" s="51">
        <f>listeCreances[[#This Row],[Montant facturé]]-listeCreances[[#This Row],[Montant encaissé]]</f>
        <v>1500</v>
      </c>
      <c r="J95" s="52">
        <f>listeCreances[[#This Row],[Date d''émission]]+listeCreances[[#This Row],[Délai de règlement]]</f>
        <v>45339</v>
      </c>
      <c r="K95" s="50">
        <f ca="1">IF(listeCreances[[#This Row],[Solde]]=0,"",TODAY()-J95)</f>
        <v>372</v>
      </c>
      <c r="L95" s="50" t="str">
        <f ca="1">IF(listeCreances[[#This Row],[Retard]]="","payé",IF(K95&lt;=0,"non échue",IF(K95&lt;=30,"échue[1,30]",IF(K95&lt;=60,"échue[31,60]",IF(K95&lt;=90,"échue[61,90]","échue&gt;90")))))</f>
        <v>échue&gt;90</v>
      </c>
      <c r="M95" s="50"/>
    </row>
    <row r="96" spans="3:13">
      <c r="C96" s="68" t="s">
        <v>84</v>
      </c>
      <c r="D96" s="52">
        <v>45323</v>
      </c>
      <c r="E96" s="50" t="s">
        <v>91</v>
      </c>
      <c r="F96" s="50">
        <v>30</v>
      </c>
      <c r="G96" s="51">
        <v>1300</v>
      </c>
      <c r="H96" s="51">
        <f>SUMIF(réglement[N° de facture],listeCreances[[#This Row],[N° de facture]],réglement[Montant encaissé])</f>
        <v>200</v>
      </c>
      <c r="I96" s="51">
        <f>listeCreances[[#This Row],[Montant facturé]]-listeCreances[[#This Row],[Montant encaissé]]</f>
        <v>1100</v>
      </c>
      <c r="J96" s="52">
        <f>listeCreances[[#This Row],[Date d''émission]]+listeCreances[[#This Row],[Délai de règlement]]</f>
        <v>45353</v>
      </c>
      <c r="K96" s="50">
        <f ca="1">IF(listeCreances[[#This Row],[Solde]]=0,"",TODAY()-J96)</f>
        <v>358</v>
      </c>
      <c r="L96" s="50" t="str">
        <f ca="1">IF(listeCreances[[#This Row],[Retard]]="","payé",IF(K96&lt;=0,"non échue",IF(K96&lt;=30,"échue[1,30]",IF(K96&lt;=60,"échue[31,60]",IF(K96&lt;=90,"échue[61,90]","échue&gt;90")))))</f>
        <v>échue&gt;90</v>
      </c>
      <c r="M96" s="50"/>
    </row>
    <row r="97" spans="3:13">
      <c r="C97" s="68" t="s">
        <v>69</v>
      </c>
      <c r="D97" s="52">
        <v>45384</v>
      </c>
      <c r="E97" s="50" t="s">
        <v>89</v>
      </c>
      <c r="F97" s="50">
        <v>15</v>
      </c>
      <c r="G97" s="51">
        <v>2000</v>
      </c>
      <c r="H97" s="51">
        <f>SUMIF(réglement[N° de facture],listeCreances[[#This Row],[N° de facture]],réglement[Montant encaissé])</f>
        <v>250</v>
      </c>
      <c r="I97" s="51">
        <f>listeCreances[[#This Row],[Montant facturé]]-listeCreances[[#This Row],[Montant encaissé]]</f>
        <v>1750</v>
      </c>
      <c r="J97" s="52">
        <f>listeCreances[[#This Row],[Date d''émission]]+listeCreances[[#This Row],[Délai de règlement]]</f>
        <v>45399</v>
      </c>
      <c r="K97" s="50">
        <f ca="1">IF(listeCreances[[#This Row],[Solde]]=0,"",TODAY()-J97)</f>
        <v>312</v>
      </c>
      <c r="L97" s="50" t="str">
        <f ca="1">IF(listeCreances[[#This Row],[Retard]]="","payé",IF(K97&lt;=0,"non échue",IF(K97&lt;=30,"échue[1,30]",IF(K97&lt;=60,"échue[31,60]",IF(K97&lt;=90,"échue[61,90]","échue&gt;90")))))</f>
        <v>échue&gt;90</v>
      </c>
      <c r="M97" s="50"/>
    </row>
    <row r="98" spans="3:13">
      <c r="C98" s="68" t="s">
        <v>68</v>
      </c>
      <c r="D98" s="52">
        <v>45292</v>
      </c>
      <c r="E98" s="50" t="s">
        <v>93</v>
      </c>
      <c r="F98" s="50">
        <v>20</v>
      </c>
      <c r="G98" s="51">
        <v>1000</v>
      </c>
      <c r="H98" s="51">
        <f>SUMIF(réglement[N° de facture],listeCreances[[#This Row],[N° de facture]],réglement[Montant encaissé])</f>
        <v>450</v>
      </c>
      <c r="I98" s="51">
        <f>listeCreances[[#This Row],[Montant facturé]]-listeCreances[[#This Row],[Montant encaissé]]</f>
        <v>550</v>
      </c>
      <c r="J98" s="52">
        <f>listeCreances[[#This Row],[Date d''émission]]+listeCreances[[#This Row],[Délai de règlement]]</f>
        <v>45312</v>
      </c>
      <c r="K98" s="50">
        <f ca="1">IF(listeCreances[[#This Row],[Solde]]=0,"",TODAY()-J98)</f>
        <v>399</v>
      </c>
      <c r="L98" s="50" t="str">
        <f ca="1">IF(listeCreances[[#This Row],[Retard]]="","payé",IF(K98&lt;=0,"non échue",IF(K98&lt;=30,"échue[1,30]",IF(K98&lt;=60,"échue[31,60]",IF(K98&lt;=90,"échue[61,90]","échue&gt;90")))))</f>
        <v>échue&gt;90</v>
      </c>
      <c r="M98" s="50"/>
    </row>
    <row r="99" spans="3:13">
      <c r="C99" s="68" t="s">
        <v>67</v>
      </c>
      <c r="D99" s="52">
        <v>45414</v>
      </c>
      <c r="E99" s="50" t="s">
        <v>86</v>
      </c>
      <c r="F99" s="50">
        <v>5</v>
      </c>
      <c r="G99" s="51">
        <v>900</v>
      </c>
      <c r="H99" s="51">
        <f>SUMIF(réglement[N° de facture],listeCreances[[#This Row],[N° de facture]],réglement[Montant encaissé])</f>
        <v>720</v>
      </c>
      <c r="I99" s="51">
        <f>listeCreances[[#This Row],[Montant facturé]]-listeCreances[[#This Row],[Montant encaissé]]</f>
        <v>180</v>
      </c>
      <c r="J99" s="52">
        <f>listeCreances[[#This Row],[Date d''émission]]+listeCreances[[#This Row],[Délai de règlement]]</f>
        <v>45419</v>
      </c>
      <c r="K99" s="50">
        <f ca="1">IF(listeCreances[[#This Row],[Solde]]=0,"",TODAY()-J99)</f>
        <v>292</v>
      </c>
      <c r="L99" s="50" t="str">
        <f ca="1">IF(listeCreances[[#This Row],[Retard]]="","payé",IF(K99&lt;=0,"non échue",IF(K99&lt;=30,"échue[1,30]",IF(K99&lt;=60,"échue[31,60]",IF(K99&lt;=90,"échue[61,90]","échue&gt;90")))))</f>
        <v>échue&gt;90</v>
      </c>
      <c r="M99" s="50"/>
    </row>
    <row r="100" spans="3:13">
      <c r="C100" s="65"/>
      <c r="D100" s="9"/>
      <c r="E100" s="9"/>
      <c r="F100" s="12"/>
      <c r="G100" s="27"/>
      <c r="H100" s="20"/>
      <c r="I100" s="27"/>
      <c r="J100" s="16"/>
      <c r="K100" s="9"/>
      <c r="L100" s="9"/>
      <c r="M100" s="9"/>
    </row>
    <row r="101" spans="3:13">
      <c r="C101" s="65"/>
      <c r="D101" s="9"/>
      <c r="E101" s="9"/>
      <c r="F101" s="12"/>
      <c r="G101" s="27"/>
      <c r="H101" s="20"/>
      <c r="I101" s="27"/>
      <c r="J101" s="16"/>
      <c r="K101" s="9"/>
      <c r="L101" s="9"/>
      <c r="M101" s="9"/>
    </row>
    <row r="102" spans="3:13">
      <c r="C102" s="65"/>
      <c r="D102" s="9"/>
      <c r="E102" s="9"/>
      <c r="F102" s="12"/>
      <c r="G102" s="27"/>
      <c r="H102" s="20"/>
      <c r="I102" s="27">
        <f>SUM(listeCreances[Solde])</f>
        <v>394550</v>
      </c>
      <c r="J102" s="16"/>
      <c r="K102" s="9"/>
      <c r="L102" s="9"/>
      <c r="M102" s="9"/>
    </row>
    <row r="103" spans="3:13">
      <c r="C103" s="65"/>
      <c r="D103" s="9"/>
      <c r="E103" s="9"/>
      <c r="F103" s="12"/>
      <c r="G103" s="27"/>
      <c r="H103" s="20"/>
      <c r="I103" s="27"/>
      <c r="J103" s="16"/>
      <c r="K103" s="9"/>
      <c r="L103" s="9"/>
      <c r="M103" s="9"/>
    </row>
    <row r="104" spans="3:13">
      <c r="C104" s="65"/>
      <c r="D104" s="9"/>
      <c r="E104" s="9"/>
      <c r="F104" s="12"/>
      <c r="G104" s="27"/>
      <c r="H104" s="20"/>
      <c r="I104" s="27"/>
      <c r="J104" s="16"/>
      <c r="K104" s="9"/>
      <c r="L104" s="9"/>
      <c r="M104" s="9"/>
    </row>
    <row r="105" spans="3:13">
      <c r="C105" s="65"/>
      <c r="D105" s="9"/>
      <c r="E105" s="9"/>
      <c r="F105" s="12"/>
      <c r="G105" s="27"/>
      <c r="H105" s="20"/>
      <c r="I105" s="27"/>
      <c r="J105" s="16"/>
      <c r="K105" s="9"/>
      <c r="L105" s="9"/>
      <c r="M105" s="9"/>
    </row>
    <row r="106" spans="3:13">
      <c r="C106" s="65"/>
      <c r="D106" s="9"/>
      <c r="E106" s="9"/>
      <c r="F106" s="12"/>
      <c r="G106" s="27"/>
      <c r="H106" s="20"/>
      <c r="I106" s="27"/>
      <c r="J106" s="16"/>
      <c r="K106" s="9"/>
      <c r="L106" s="9"/>
      <c r="M106" s="9"/>
    </row>
    <row r="107" spans="3:13">
      <c r="C107" s="65"/>
      <c r="D107" s="9"/>
      <c r="E107" s="9"/>
      <c r="F107" s="12"/>
      <c r="G107" s="27"/>
      <c r="H107" s="20"/>
      <c r="I107" s="27"/>
      <c r="J107" s="16"/>
      <c r="K107" s="9"/>
      <c r="L107" s="9"/>
      <c r="M107" s="9"/>
    </row>
    <row r="108" spans="3:13">
      <c r="C108" s="65"/>
      <c r="D108" s="9"/>
      <c r="E108" s="9"/>
      <c r="F108" s="12"/>
      <c r="G108" s="27"/>
      <c r="H108" s="20"/>
      <c r="I108" s="27"/>
      <c r="J108" s="16"/>
      <c r="K108" s="9"/>
      <c r="L108" s="9"/>
      <c r="M108" s="9"/>
    </row>
    <row r="109" spans="3:13">
      <c r="C109" s="65"/>
      <c r="D109" s="9"/>
      <c r="E109" s="9"/>
      <c r="F109" s="12"/>
      <c r="G109" s="27"/>
      <c r="H109" s="20"/>
      <c r="I109" s="27"/>
      <c r="J109" s="16"/>
      <c r="K109" s="9"/>
      <c r="L109" s="9"/>
      <c r="M109" s="9"/>
    </row>
    <row r="110" spans="3:13">
      <c r="C110" s="65"/>
      <c r="D110" s="9"/>
      <c r="E110" s="9"/>
      <c r="F110" s="12"/>
      <c r="G110" s="27"/>
      <c r="H110" s="20"/>
      <c r="I110" s="27"/>
      <c r="J110" s="16"/>
      <c r="K110" s="9"/>
      <c r="L110" s="9"/>
      <c r="M110" s="9"/>
    </row>
    <row r="111" spans="3:13">
      <c r="C111" s="65"/>
      <c r="D111" s="9"/>
      <c r="E111" s="9"/>
      <c r="F111" s="12"/>
      <c r="G111" s="27"/>
      <c r="H111" s="20"/>
      <c r="I111" s="27"/>
      <c r="J111" s="16"/>
      <c r="K111" s="9"/>
      <c r="L111" s="9"/>
      <c r="M111" s="9"/>
    </row>
    <row r="112" spans="3:13">
      <c r="C112" s="65"/>
      <c r="D112" s="9"/>
      <c r="E112" s="9"/>
      <c r="F112" s="12"/>
      <c r="G112" s="27"/>
      <c r="H112" s="20"/>
      <c r="I112" s="27"/>
      <c r="J112" s="16"/>
      <c r="K112" s="9"/>
      <c r="L112" s="9"/>
      <c r="M112" s="9"/>
    </row>
    <row r="113" spans="2:14">
      <c r="C113" s="65"/>
      <c r="D113" s="9"/>
      <c r="E113" s="9"/>
      <c r="F113" s="12"/>
      <c r="G113" s="27"/>
      <c r="H113" s="20"/>
      <c r="I113" s="27"/>
      <c r="J113" s="16"/>
      <c r="K113" s="9"/>
      <c r="L113" s="9"/>
      <c r="M113" s="9"/>
    </row>
    <row r="114" spans="2:14">
      <c r="C114" s="65"/>
      <c r="D114" s="9"/>
      <c r="E114" s="9"/>
      <c r="F114" s="12"/>
      <c r="G114" s="27"/>
      <c r="H114" s="20"/>
      <c r="I114" s="27"/>
      <c r="J114" s="16"/>
      <c r="K114" s="9"/>
      <c r="L114" s="9"/>
      <c r="M114" s="9"/>
    </row>
    <row r="115" spans="2:14">
      <c r="C115" s="65"/>
      <c r="D115" s="9"/>
      <c r="E115" s="9"/>
      <c r="F115" s="12"/>
      <c r="G115" s="27"/>
      <c r="H115" s="20"/>
      <c r="I115" s="27"/>
      <c r="J115" s="16"/>
      <c r="K115" s="9"/>
      <c r="L115" s="9"/>
      <c r="M115" s="9"/>
    </row>
    <row r="116" spans="2:14">
      <c r="C116" s="65"/>
      <c r="D116" s="9"/>
      <c r="E116" s="9"/>
      <c r="F116" s="12"/>
      <c r="G116" s="27"/>
      <c r="H116" s="20"/>
      <c r="I116" s="27"/>
      <c r="J116" s="16"/>
      <c r="K116" s="9"/>
      <c r="L116" s="9"/>
      <c r="M116" s="9"/>
    </row>
    <row r="117" spans="2:14">
      <c r="C117" s="65"/>
      <c r="D117" s="9"/>
      <c r="E117" s="9"/>
      <c r="F117" s="12"/>
      <c r="G117" s="27"/>
      <c r="H117" s="20"/>
      <c r="I117" s="27"/>
      <c r="J117" s="16"/>
      <c r="K117" s="9"/>
      <c r="L117" s="9"/>
      <c r="M117" s="9"/>
    </row>
    <row r="118" spans="2:14">
      <c r="C118" s="65"/>
      <c r="D118" s="9"/>
      <c r="E118" s="9"/>
      <c r="F118" s="12"/>
      <c r="G118" s="27"/>
      <c r="H118" s="20"/>
      <c r="I118" s="27"/>
      <c r="J118" s="16"/>
      <c r="K118" s="9"/>
      <c r="L118" s="9"/>
      <c r="M118" s="9"/>
    </row>
    <row r="119" spans="2:14">
      <c r="B119" s="6"/>
      <c r="N119" s="6"/>
    </row>
    <row r="120" spans="2:14">
      <c r="B120" s="6"/>
      <c r="N120" s="6"/>
    </row>
    <row r="121" spans="2:14">
      <c r="B121" s="6"/>
      <c r="N121" s="6"/>
    </row>
    <row r="122" spans="2:14">
      <c r="B122" s="6"/>
      <c r="N122" s="6"/>
    </row>
    <row r="123" spans="2:14">
      <c r="B123" s="6"/>
      <c r="I123" s="6"/>
      <c r="N123" s="6"/>
    </row>
    <row r="124" spans="2:14">
      <c r="B124" s="6"/>
      <c r="N124" s="6"/>
    </row>
    <row r="125" spans="2:14">
      <c r="B125" s="6"/>
      <c r="N125" s="6"/>
    </row>
    <row r="126" spans="2:14">
      <c r="B126" s="6"/>
      <c r="N126" s="6"/>
    </row>
    <row r="127" spans="2:14">
      <c r="B127" s="6"/>
      <c r="N127" s="6"/>
    </row>
    <row r="128" spans="2:14">
      <c r="B128" s="6"/>
      <c r="N128" s="6"/>
    </row>
    <row r="129" spans="2:14">
      <c r="B129" s="6"/>
      <c r="N129" s="6"/>
    </row>
    <row r="130" spans="2:14">
      <c r="B130" s="6"/>
      <c r="N130" s="6"/>
    </row>
    <row r="131" spans="2:14">
      <c r="B131" s="6"/>
      <c r="N131" s="6"/>
    </row>
    <row r="132" spans="2:14">
      <c r="B132" s="6"/>
      <c r="N132" s="6"/>
    </row>
    <row r="133" spans="2:14">
      <c r="B133" s="6"/>
      <c r="N133" s="6"/>
    </row>
    <row r="134" spans="2:14">
      <c r="B134" s="6"/>
      <c r="N134" s="6"/>
    </row>
    <row r="135" spans="2:14">
      <c r="B135" s="6"/>
      <c r="N135" s="6"/>
    </row>
    <row r="136" spans="2:14">
      <c r="B136" s="6"/>
      <c r="N136" s="6"/>
    </row>
    <row r="137" spans="2:14">
      <c r="B137" s="6"/>
      <c r="N137" s="6"/>
    </row>
    <row r="138" spans="2:14">
      <c r="B138" s="6"/>
      <c r="N138" s="6"/>
    </row>
    <row r="139" spans="2:14">
      <c r="B139" s="6"/>
      <c r="N139" s="6"/>
    </row>
    <row r="140" spans="2:14">
      <c r="B140" s="6"/>
      <c r="N140" s="6"/>
    </row>
    <row r="141" spans="2:14">
      <c r="B141" s="6"/>
      <c r="N141" s="6"/>
    </row>
    <row r="142" spans="2:14">
      <c r="B142" s="6"/>
      <c r="N142" s="6"/>
    </row>
    <row r="143" spans="2:14">
      <c r="B143" s="6"/>
      <c r="N143" s="6"/>
    </row>
    <row r="144" spans="2:14">
      <c r="B144" s="6"/>
      <c r="N144" s="6"/>
    </row>
    <row r="145" spans="2:14">
      <c r="B145" s="6"/>
      <c r="N145" s="6"/>
    </row>
    <row r="146" spans="2:14">
      <c r="B146" s="6"/>
      <c r="N146" s="6"/>
    </row>
    <row r="147" spans="2:14">
      <c r="B147" s="6"/>
      <c r="N147" s="6"/>
    </row>
    <row r="148" spans="2:14">
      <c r="B148" s="6"/>
      <c r="N148" s="6"/>
    </row>
    <row r="149" spans="2:14">
      <c r="B149" s="6"/>
      <c r="N149" s="6"/>
    </row>
    <row r="150" spans="2:14">
      <c r="B150" s="6"/>
      <c r="N150" s="6"/>
    </row>
    <row r="151" spans="2:14">
      <c r="B151" s="6"/>
      <c r="N151" s="6"/>
    </row>
    <row r="152" spans="2:14">
      <c r="B152" s="6"/>
      <c r="N152" s="6"/>
    </row>
    <row r="153" spans="2:14">
      <c r="B153" s="6"/>
      <c r="N153" s="6"/>
    </row>
    <row r="154" spans="2:14">
      <c r="B154" s="6"/>
      <c r="N154" s="6"/>
    </row>
    <row r="155" spans="2:14">
      <c r="B155" s="6"/>
      <c r="N155" s="6"/>
    </row>
    <row r="156" spans="2:14">
      <c r="B156" s="6"/>
      <c r="N156" s="6"/>
    </row>
    <row r="157" spans="2:14">
      <c r="B157" s="6"/>
      <c r="N157" s="6"/>
    </row>
    <row r="158" spans="2:14">
      <c r="B158" s="6"/>
      <c r="N158" s="6"/>
    </row>
    <row r="159" spans="2:14">
      <c r="B159" s="6"/>
      <c r="N159" s="6"/>
    </row>
    <row r="160" spans="2:14">
      <c r="B160" s="6"/>
      <c r="N160" s="6"/>
    </row>
    <row r="161" spans="2:14">
      <c r="B161" s="6"/>
      <c r="N161" s="6"/>
    </row>
    <row r="162" spans="2:14">
      <c r="B162" s="6"/>
      <c r="N162" s="6"/>
    </row>
    <row r="163" spans="2:14">
      <c r="B163" s="6"/>
      <c r="N163" s="6"/>
    </row>
    <row r="164" spans="2:14">
      <c r="B164" s="6"/>
      <c r="N164" s="6"/>
    </row>
    <row r="165" spans="2:14">
      <c r="B165" s="6"/>
      <c r="N165" s="6"/>
    </row>
    <row r="166" spans="2:14">
      <c r="B166" s="6"/>
      <c r="N166" s="6"/>
    </row>
    <row r="167" spans="2:14">
      <c r="B167" s="6"/>
      <c r="N167" s="6"/>
    </row>
    <row r="168" spans="2:14">
      <c r="B168" s="6"/>
      <c r="N168" s="6"/>
    </row>
    <row r="169" spans="2:14">
      <c r="B169" s="6"/>
      <c r="N169" s="6"/>
    </row>
    <row r="170" spans="2:14">
      <c r="B170" s="6"/>
      <c r="N170" s="6"/>
    </row>
    <row r="171" spans="2:14">
      <c r="B171" s="6"/>
      <c r="N171" s="6"/>
    </row>
    <row r="172" spans="2:14">
      <c r="B172" s="6"/>
      <c r="N172" s="6"/>
    </row>
    <row r="173" spans="2:14">
      <c r="B173" s="6"/>
      <c r="N173" s="6"/>
    </row>
    <row r="174" spans="2:14">
      <c r="B174" s="6"/>
      <c r="N174" s="6"/>
    </row>
    <row r="175" spans="2:14">
      <c r="B175" s="6"/>
      <c r="N175" s="6"/>
    </row>
    <row r="176" spans="2:14">
      <c r="B176" s="6"/>
      <c r="N176" s="6"/>
    </row>
    <row r="177" spans="2:14">
      <c r="B177" s="6"/>
      <c r="N177" s="6"/>
    </row>
    <row r="178" spans="2:14">
      <c r="B178" s="6"/>
      <c r="N178" s="6"/>
    </row>
    <row r="179" spans="2:14">
      <c r="B179" s="6"/>
      <c r="N179" s="6"/>
    </row>
    <row r="180" spans="2:14">
      <c r="B180" s="6"/>
      <c r="N180" s="6"/>
    </row>
    <row r="181" spans="2:14">
      <c r="B181" s="6"/>
      <c r="N181" s="6"/>
    </row>
    <row r="182" spans="2:14">
      <c r="B182" s="6"/>
      <c r="N182" s="6"/>
    </row>
    <row r="183" spans="2:14">
      <c r="B183" s="6"/>
      <c r="N183" s="6"/>
    </row>
    <row r="184" spans="2:14">
      <c r="B184" s="6"/>
      <c r="N184" s="6"/>
    </row>
    <row r="185" spans="2:14">
      <c r="B185" s="6"/>
      <c r="N185" s="6"/>
    </row>
    <row r="186" spans="2:14">
      <c r="B186" s="6"/>
      <c r="N186" s="6"/>
    </row>
    <row r="187" spans="2:14">
      <c r="B187" s="6"/>
      <c r="N187" s="6"/>
    </row>
    <row r="188" spans="2:14">
      <c r="B188" s="6"/>
      <c r="N188" s="6"/>
    </row>
    <row r="189" spans="2:14">
      <c r="B189" s="6"/>
      <c r="N189" s="6"/>
    </row>
    <row r="190" spans="2:14">
      <c r="B190" s="6"/>
      <c r="N190" s="6"/>
    </row>
    <row r="191" spans="2:14">
      <c r="B191" s="6"/>
      <c r="N191" s="6"/>
    </row>
    <row r="192" spans="2:14">
      <c r="B192" s="6"/>
      <c r="N192" s="6"/>
    </row>
    <row r="193" spans="2:14">
      <c r="B193" s="6"/>
      <c r="N193" s="6"/>
    </row>
    <row r="194" spans="2:14">
      <c r="B194" s="6"/>
      <c r="N194" s="6"/>
    </row>
    <row r="195" spans="2:14">
      <c r="B195" s="6"/>
      <c r="N195" s="6"/>
    </row>
    <row r="196" spans="2:14">
      <c r="B196" s="6"/>
      <c r="N196" s="6"/>
    </row>
    <row r="197" spans="2:14">
      <c r="B197" s="6"/>
      <c r="N197" s="6"/>
    </row>
    <row r="198" spans="2:14">
      <c r="B198" s="6"/>
      <c r="N198" s="6"/>
    </row>
    <row r="199" spans="2:14">
      <c r="B199" s="6"/>
      <c r="N199" s="6"/>
    </row>
    <row r="200" spans="2:14">
      <c r="B200" s="6"/>
      <c r="N200" s="6"/>
    </row>
    <row r="201" spans="2:14">
      <c r="B201" s="6"/>
      <c r="N201" s="6"/>
    </row>
    <row r="202" spans="2:14">
      <c r="B202" s="6"/>
      <c r="N202" s="6"/>
    </row>
    <row r="203" spans="2:14">
      <c r="B203" s="6"/>
      <c r="N203" s="6"/>
    </row>
    <row r="204" spans="2:14">
      <c r="B204" s="6"/>
      <c r="N204" s="6"/>
    </row>
    <row r="205" spans="2:14">
      <c r="B205" s="6"/>
      <c r="N205" s="6"/>
    </row>
    <row r="206" spans="2:14">
      <c r="B206" s="6"/>
      <c r="N206" s="6"/>
    </row>
    <row r="207" spans="2:14">
      <c r="B207" s="6"/>
      <c r="N207" s="6"/>
    </row>
    <row r="208" spans="2:14">
      <c r="B208" s="6"/>
      <c r="N208" s="6"/>
    </row>
    <row r="209" spans="2:14">
      <c r="B209" s="6"/>
      <c r="N209" s="6"/>
    </row>
    <row r="210" spans="2:14">
      <c r="B210" s="6"/>
      <c r="N210" s="6"/>
    </row>
    <row r="211" spans="2:14">
      <c r="B211" s="6"/>
      <c r="N211" s="6"/>
    </row>
    <row r="212" spans="2:14">
      <c r="B212" s="6"/>
      <c r="N212" s="6"/>
    </row>
    <row r="213" spans="2:14">
      <c r="B213" s="6"/>
      <c r="N213" s="6"/>
    </row>
    <row r="214" spans="2:14">
      <c r="B214" s="6"/>
      <c r="N214" s="6"/>
    </row>
    <row r="215" spans="2:14">
      <c r="B215" s="6"/>
      <c r="N215" s="6"/>
    </row>
    <row r="216" spans="2:14">
      <c r="B216" s="6"/>
      <c r="N216" s="6"/>
    </row>
    <row r="217" spans="2:14">
      <c r="B217" s="6"/>
      <c r="N217" s="6"/>
    </row>
    <row r="218" spans="2:14">
      <c r="B218" s="6"/>
      <c r="N218" s="6"/>
    </row>
    <row r="219" spans="2:14">
      <c r="B219" s="6"/>
      <c r="N219" s="6"/>
    </row>
    <row r="220" spans="2:14">
      <c r="B220" s="6"/>
      <c r="N220" s="6"/>
    </row>
    <row r="221" spans="2:14">
      <c r="B221" s="6"/>
      <c r="N221" s="6"/>
    </row>
    <row r="222" spans="2:14">
      <c r="B222" s="6"/>
      <c r="N222" s="6"/>
    </row>
    <row r="223" spans="2:14">
      <c r="B223" s="6"/>
      <c r="N223" s="6"/>
    </row>
    <row r="224" spans="2:14">
      <c r="B224" s="6"/>
      <c r="N224" s="6"/>
    </row>
    <row r="225" spans="2:14">
      <c r="B225" s="6"/>
      <c r="N225" s="6"/>
    </row>
    <row r="226" spans="2:14">
      <c r="B226" s="6"/>
      <c r="N226" s="6"/>
    </row>
    <row r="227" spans="2:14">
      <c r="B227" s="6"/>
      <c r="N227" s="6"/>
    </row>
    <row r="228" spans="2:14">
      <c r="B228" s="6"/>
      <c r="N228" s="6"/>
    </row>
    <row r="229" spans="2:14">
      <c r="B229" s="6"/>
      <c r="N229" s="6"/>
    </row>
    <row r="230" spans="2:14">
      <c r="B230" s="6"/>
      <c r="N230" s="6"/>
    </row>
    <row r="231" spans="2:14">
      <c r="B231" s="6"/>
      <c r="N231" s="6"/>
    </row>
    <row r="232" spans="2:14">
      <c r="B232" s="6"/>
      <c r="N232" s="6"/>
    </row>
    <row r="233" spans="2:14">
      <c r="B233" s="6"/>
      <c r="N233" s="6"/>
    </row>
    <row r="234" spans="2:14">
      <c r="B234" s="6"/>
      <c r="N234" s="6"/>
    </row>
    <row r="235" spans="2:14">
      <c r="B235" s="6"/>
      <c r="N235" s="6"/>
    </row>
    <row r="236" spans="2:14">
      <c r="B236" s="6"/>
      <c r="N236" s="6"/>
    </row>
    <row r="237" spans="2:14">
      <c r="B237" s="6"/>
      <c r="N237" s="6"/>
    </row>
    <row r="238" spans="2:14">
      <c r="B238" s="6"/>
      <c r="N238" s="6"/>
    </row>
    <row r="239" spans="2:14">
      <c r="B239" s="6"/>
      <c r="N239" s="6"/>
    </row>
    <row r="240" spans="2:14">
      <c r="B240" s="6"/>
      <c r="N240" s="6"/>
    </row>
    <row r="241" spans="2:14">
      <c r="B241" s="6"/>
      <c r="N241" s="6"/>
    </row>
    <row r="242" spans="2:14">
      <c r="B242" s="6"/>
      <c r="N242" s="6"/>
    </row>
    <row r="243" spans="2:14">
      <c r="B243" s="6"/>
      <c r="N243" s="6"/>
    </row>
    <row r="244" spans="2:14">
      <c r="B244" s="6"/>
      <c r="N244" s="6"/>
    </row>
    <row r="245" spans="2:14">
      <c r="B245" s="6"/>
      <c r="N245" s="6"/>
    </row>
    <row r="246" spans="2:14">
      <c r="B246" s="6"/>
      <c r="N246" s="6"/>
    </row>
    <row r="247" spans="2:14">
      <c r="B247" s="6"/>
      <c r="N247" s="6"/>
    </row>
    <row r="248" spans="2:14">
      <c r="B248" s="6"/>
      <c r="N248" s="6"/>
    </row>
    <row r="249" spans="2:14">
      <c r="B249" s="6"/>
      <c r="N249" s="6"/>
    </row>
    <row r="250" spans="2:14">
      <c r="B250" s="6"/>
      <c r="N250" s="6"/>
    </row>
    <row r="251" spans="2:14">
      <c r="B251" s="6"/>
      <c r="N251" s="6"/>
    </row>
    <row r="252" spans="2:14">
      <c r="B252" s="6"/>
      <c r="N252" s="6"/>
    </row>
    <row r="253" spans="2:14">
      <c r="B253" s="6"/>
      <c r="N253" s="6"/>
    </row>
    <row r="254" spans="2:14">
      <c r="B254" s="6"/>
      <c r="N254" s="6"/>
    </row>
    <row r="255" spans="2:14">
      <c r="B255" s="6"/>
      <c r="N255" s="6"/>
    </row>
    <row r="256" spans="2:14">
      <c r="B256" s="6"/>
      <c r="N256" s="6"/>
    </row>
    <row r="257" spans="2:14">
      <c r="B257" s="6"/>
      <c r="N257" s="6"/>
    </row>
    <row r="258" spans="2:14">
      <c r="B258" s="6"/>
      <c r="N258" s="6"/>
    </row>
    <row r="259" spans="2:14">
      <c r="B259" s="6"/>
      <c r="N259" s="6"/>
    </row>
    <row r="260" spans="2:14">
      <c r="B260" s="6"/>
      <c r="N260" s="6"/>
    </row>
    <row r="261" spans="2:14">
      <c r="B261" s="6"/>
      <c r="N261" s="6"/>
    </row>
    <row r="262" spans="2:14">
      <c r="B262" s="6"/>
      <c r="N262" s="6"/>
    </row>
    <row r="263" spans="2:14">
      <c r="B263" s="6"/>
      <c r="N263" s="6"/>
    </row>
    <row r="264" spans="2:14">
      <c r="B264" s="6"/>
      <c r="N264" s="6"/>
    </row>
    <row r="265" spans="2:14">
      <c r="B265" s="6"/>
      <c r="N265" s="6"/>
    </row>
    <row r="266" spans="2:14">
      <c r="B266" s="6"/>
      <c r="N266" s="6"/>
    </row>
    <row r="267" spans="2:14">
      <c r="B267" s="6"/>
      <c r="N267" s="6"/>
    </row>
    <row r="268" spans="2:14">
      <c r="B268" s="6"/>
      <c r="N268" s="6"/>
    </row>
    <row r="269" spans="2:14">
      <c r="B269" s="6"/>
      <c r="N269" s="6"/>
    </row>
    <row r="270" spans="2:14">
      <c r="B270" s="6"/>
      <c r="N270" s="6"/>
    </row>
    <row r="271" spans="2:14">
      <c r="B271" s="6"/>
      <c r="N271" s="6"/>
    </row>
    <row r="272" spans="2:14">
      <c r="B272" s="6"/>
      <c r="N272" s="6"/>
    </row>
    <row r="273" spans="2:14">
      <c r="B273" s="6"/>
      <c r="N273" s="6"/>
    </row>
    <row r="274" spans="2:14">
      <c r="B274" s="6"/>
      <c r="N274" s="6"/>
    </row>
    <row r="275" spans="2:14">
      <c r="B275" s="6"/>
      <c r="N275" s="6"/>
    </row>
    <row r="276" spans="2:14">
      <c r="B276" s="6"/>
      <c r="N276" s="6"/>
    </row>
    <row r="277" spans="2:14">
      <c r="B277" s="6"/>
      <c r="N277" s="6"/>
    </row>
    <row r="278" spans="2:14">
      <c r="B278" s="6"/>
      <c r="N278" s="6"/>
    </row>
    <row r="279" spans="2:14">
      <c r="B279" s="6"/>
      <c r="N279" s="6"/>
    </row>
    <row r="280" spans="2:14">
      <c r="B280" s="6"/>
      <c r="N280" s="6"/>
    </row>
    <row r="281" spans="2:14">
      <c r="B281" s="6"/>
      <c r="N281" s="6"/>
    </row>
    <row r="282" spans="2:14">
      <c r="B282" s="6"/>
      <c r="N282" s="6"/>
    </row>
    <row r="283" spans="2:14">
      <c r="B283" s="6"/>
      <c r="N283" s="6"/>
    </row>
    <row r="284" spans="2:14">
      <c r="B284" s="6"/>
      <c r="N284" s="6"/>
    </row>
    <row r="285" spans="2:14">
      <c r="B285" s="6"/>
      <c r="N285" s="6"/>
    </row>
    <row r="286" spans="2:14">
      <c r="B286" s="6"/>
      <c r="N286" s="6"/>
    </row>
    <row r="287" spans="2:14">
      <c r="B287" s="6"/>
      <c r="N287" s="6"/>
    </row>
    <row r="288" spans="2:14">
      <c r="B288" s="6"/>
      <c r="N288" s="6"/>
    </row>
    <row r="289" spans="2:14">
      <c r="B289" s="6"/>
      <c r="N289" s="6"/>
    </row>
    <row r="290" spans="2:14">
      <c r="B290" s="6"/>
      <c r="N290" s="6"/>
    </row>
    <row r="291" spans="2:14">
      <c r="B291" s="6"/>
      <c r="N291" s="6"/>
    </row>
    <row r="292" spans="2:14">
      <c r="B292" s="6"/>
      <c r="N292" s="6"/>
    </row>
    <row r="293" spans="2:14">
      <c r="B293" s="6"/>
      <c r="N293" s="6"/>
    </row>
    <row r="294" spans="2:14">
      <c r="B294" s="6"/>
      <c r="N294" s="6"/>
    </row>
    <row r="295" spans="2:14">
      <c r="B295" s="6"/>
      <c r="N295" s="6"/>
    </row>
    <row r="296" spans="2:14">
      <c r="B296" s="6"/>
      <c r="N296" s="6"/>
    </row>
    <row r="297" spans="2:14">
      <c r="B297" s="6"/>
      <c r="N297" s="6"/>
    </row>
    <row r="298" spans="2:14">
      <c r="B298" s="6"/>
      <c r="N298" s="6"/>
    </row>
    <row r="299" spans="2:14">
      <c r="B299" s="6"/>
      <c r="N299" s="6"/>
    </row>
    <row r="300" spans="2:14">
      <c r="B300" s="6"/>
      <c r="N300" s="6"/>
    </row>
    <row r="301" spans="2:14">
      <c r="B301" s="6"/>
      <c r="N301" s="6"/>
    </row>
    <row r="302" spans="2:14">
      <c r="B302" s="6"/>
      <c r="N302" s="6"/>
    </row>
    <row r="303" spans="2:14">
      <c r="B303" s="6"/>
      <c r="N303" s="6"/>
    </row>
    <row r="304" spans="2:14">
      <c r="B304" s="6"/>
      <c r="N304" s="6"/>
    </row>
    <row r="305" spans="2:14">
      <c r="B305" s="6"/>
      <c r="N305" s="6"/>
    </row>
    <row r="306" spans="2:14">
      <c r="B306" s="6"/>
      <c r="N306" s="6"/>
    </row>
    <row r="307" spans="2:14">
      <c r="B307" s="6"/>
      <c r="N307" s="6"/>
    </row>
    <row r="308" spans="2:14">
      <c r="B308" s="6"/>
      <c r="N308" s="6"/>
    </row>
    <row r="309" spans="2:14">
      <c r="B309" s="6"/>
      <c r="N309" s="6"/>
    </row>
    <row r="310" spans="2:14">
      <c r="B310" s="6"/>
      <c r="N310" s="6"/>
    </row>
    <row r="311" spans="2:14">
      <c r="B311" s="6"/>
      <c r="N311" s="6"/>
    </row>
    <row r="312" spans="2:14">
      <c r="B312" s="6"/>
      <c r="N312" s="6"/>
    </row>
    <row r="313" spans="2:14">
      <c r="B313" s="6"/>
      <c r="N313" s="6"/>
    </row>
    <row r="314" spans="2:14">
      <c r="B314" s="6"/>
      <c r="N314" s="6"/>
    </row>
    <row r="315" spans="2:14">
      <c r="B315" s="6"/>
      <c r="N315" s="6"/>
    </row>
    <row r="316" spans="2:14">
      <c r="B316" s="6"/>
      <c r="N316" s="6"/>
    </row>
    <row r="317" spans="2:14">
      <c r="B317" s="6"/>
      <c r="N317" s="6"/>
    </row>
    <row r="318" spans="2:14">
      <c r="B318" s="6"/>
      <c r="N318" s="6"/>
    </row>
    <row r="319" spans="2:14">
      <c r="B319" s="6"/>
      <c r="N319" s="6"/>
    </row>
    <row r="320" spans="2:14">
      <c r="B320" s="6"/>
      <c r="N320" s="6"/>
    </row>
    <row r="321" spans="2:14">
      <c r="B321" s="6"/>
      <c r="N321" s="6"/>
    </row>
    <row r="322" spans="2:14">
      <c r="B322" s="6"/>
      <c r="N322" s="6"/>
    </row>
    <row r="323" spans="2:14">
      <c r="B323" s="6"/>
      <c r="N323" s="6"/>
    </row>
    <row r="324" spans="2:14">
      <c r="B324" s="6"/>
      <c r="N324" s="6"/>
    </row>
    <row r="325" spans="2:14">
      <c r="B325" s="6"/>
      <c r="N325" s="6"/>
    </row>
    <row r="326" spans="2:14">
      <c r="B326" s="6"/>
      <c r="N326" s="6"/>
    </row>
    <row r="327" spans="2:14">
      <c r="B327" s="6"/>
      <c r="N327" s="6"/>
    </row>
    <row r="328" spans="2:14">
      <c r="B328" s="6"/>
      <c r="N328" s="6"/>
    </row>
    <row r="329" spans="2:14">
      <c r="B329" s="6"/>
      <c r="N329" s="6"/>
    </row>
    <row r="330" spans="2:14">
      <c r="B330" s="6"/>
      <c r="N330" s="6"/>
    </row>
    <row r="331" spans="2:14">
      <c r="B331" s="6"/>
      <c r="N331" s="6"/>
    </row>
    <row r="332" spans="2:14">
      <c r="B332" s="6"/>
      <c r="N332" s="6"/>
    </row>
    <row r="333" spans="2:14">
      <c r="B333" s="6"/>
      <c r="N333" s="6"/>
    </row>
    <row r="334" spans="2:14">
      <c r="B334" s="6"/>
      <c r="N334" s="6"/>
    </row>
    <row r="335" spans="2:14">
      <c r="B335" s="6"/>
      <c r="N335" s="6"/>
    </row>
    <row r="336" spans="2:14">
      <c r="B336" s="6"/>
      <c r="N336" s="6"/>
    </row>
    <row r="337" spans="2:14">
      <c r="B337" s="6"/>
      <c r="N337" s="6"/>
    </row>
    <row r="338" spans="2:14">
      <c r="B338" s="6"/>
      <c r="N338" s="6"/>
    </row>
    <row r="339" spans="2:14">
      <c r="B339" s="6"/>
      <c r="N339" s="6"/>
    </row>
    <row r="340" spans="2:14">
      <c r="B340" s="6"/>
      <c r="N340" s="6"/>
    </row>
    <row r="341" spans="2:14">
      <c r="B341" s="6"/>
      <c r="N341" s="6"/>
    </row>
    <row r="342" spans="2:14">
      <c r="B342" s="6"/>
      <c r="N342" s="6"/>
    </row>
    <row r="343" spans="2:14">
      <c r="B343" s="6"/>
      <c r="N343" s="6"/>
    </row>
    <row r="344" spans="2:14">
      <c r="B344" s="6"/>
      <c r="N344" s="6"/>
    </row>
    <row r="345" spans="2:14">
      <c r="B345" s="6"/>
      <c r="N345" s="6"/>
    </row>
    <row r="346" spans="2:14">
      <c r="B346" s="6"/>
      <c r="N346" s="6"/>
    </row>
    <row r="347" spans="2:14">
      <c r="B347" s="6"/>
      <c r="N347" s="6"/>
    </row>
    <row r="348" spans="2:14">
      <c r="B348" s="6"/>
      <c r="N348" s="6"/>
    </row>
    <row r="349" spans="2:14">
      <c r="B349" s="6"/>
      <c r="N349" s="6"/>
    </row>
    <row r="350" spans="2:14">
      <c r="B350" s="6"/>
      <c r="N350" s="6"/>
    </row>
    <row r="351" spans="2:14">
      <c r="B351" s="6"/>
      <c r="N351" s="6"/>
    </row>
    <row r="352" spans="2:14">
      <c r="B352" s="6"/>
      <c r="N352" s="6"/>
    </row>
    <row r="353" spans="2:14">
      <c r="B353" s="6"/>
      <c r="N353" s="6"/>
    </row>
    <row r="354" spans="2:14">
      <c r="B354" s="6"/>
      <c r="N354" s="6"/>
    </row>
    <row r="355" spans="2:14">
      <c r="B355" s="6"/>
      <c r="N355" s="6"/>
    </row>
    <row r="356" spans="2:14">
      <c r="B356" s="6"/>
      <c r="N356" s="6"/>
    </row>
    <row r="357" spans="2:14">
      <c r="B357" s="6"/>
      <c r="N357" s="6"/>
    </row>
    <row r="358" spans="2:14">
      <c r="B358" s="6"/>
      <c r="N358" s="6"/>
    </row>
    <row r="359" spans="2:14">
      <c r="B359" s="6"/>
      <c r="N359" s="6"/>
    </row>
    <row r="360" spans="2:14">
      <c r="B360" s="6"/>
      <c r="N360" s="6"/>
    </row>
    <row r="361" spans="2:14">
      <c r="B361" s="6"/>
      <c r="N361" s="6"/>
    </row>
    <row r="362" spans="2:14">
      <c r="B362" s="6"/>
      <c r="N362" s="6"/>
    </row>
    <row r="363" spans="2:14">
      <c r="B363" s="6"/>
      <c r="N363" s="6"/>
    </row>
    <row r="364" spans="2:14">
      <c r="B364" s="6"/>
      <c r="N364" s="6"/>
    </row>
    <row r="365" spans="2:14">
      <c r="B365" s="6"/>
      <c r="N365" s="6"/>
    </row>
    <row r="366" spans="2:14">
      <c r="B366" s="6"/>
      <c r="N366" s="6"/>
    </row>
    <row r="367" spans="2:14">
      <c r="B367" s="6"/>
      <c r="N367" s="6"/>
    </row>
    <row r="368" spans="2:14">
      <c r="B368" s="6"/>
      <c r="N368" s="6"/>
    </row>
    <row r="369" spans="2:14">
      <c r="B369" s="6"/>
      <c r="N369" s="6"/>
    </row>
    <row r="370" spans="2:14">
      <c r="B370" s="6"/>
      <c r="N370" s="6"/>
    </row>
    <row r="371" spans="2:14">
      <c r="B371" s="6"/>
      <c r="N371" s="6"/>
    </row>
    <row r="372" spans="2:14">
      <c r="B372" s="6"/>
      <c r="N372" s="6"/>
    </row>
    <row r="373" spans="2:14">
      <c r="B373" s="6"/>
      <c r="N373" s="6"/>
    </row>
    <row r="374" spans="2:14">
      <c r="B374" s="6"/>
      <c r="N374" s="6"/>
    </row>
    <row r="375" spans="2:14">
      <c r="B375" s="6"/>
      <c r="N375" s="6"/>
    </row>
    <row r="376" spans="2:14">
      <c r="B376" s="6"/>
      <c r="N376" s="6"/>
    </row>
    <row r="377" spans="2:14">
      <c r="B377" s="6"/>
      <c r="N377" s="6"/>
    </row>
    <row r="378" spans="2:14">
      <c r="B378" s="6"/>
      <c r="N378" s="6"/>
    </row>
    <row r="379" spans="2:14">
      <c r="B379" s="6"/>
      <c r="N379" s="6"/>
    </row>
    <row r="380" spans="2:14">
      <c r="B380" s="6"/>
      <c r="N380" s="6"/>
    </row>
    <row r="381" spans="2:14">
      <c r="B381" s="6"/>
      <c r="N381" s="6"/>
    </row>
    <row r="382" spans="2:14">
      <c r="B382" s="6"/>
      <c r="N382" s="6"/>
    </row>
    <row r="383" spans="2:14">
      <c r="B383" s="6"/>
      <c r="N383" s="6"/>
    </row>
    <row r="384" spans="2:14">
      <c r="B384" s="6"/>
      <c r="N384" s="6"/>
    </row>
    <row r="385" spans="2:14">
      <c r="B385" s="6"/>
      <c r="N385" s="6"/>
    </row>
    <row r="386" spans="2:14">
      <c r="B386" s="6"/>
      <c r="N386" s="6"/>
    </row>
    <row r="387" spans="2:14">
      <c r="B387" s="6"/>
      <c r="N387" s="6"/>
    </row>
    <row r="388" spans="2:14">
      <c r="B388" s="6"/>
      <c r="N388" s="6"/>
    </row>
    <row r="389" spans="2:14">
      <c r="B389" s="6"/>
      <c r="N389" s="6"/>
    </row>
    <row r="390" spans="2:14">
      <c r="B390" s="6"/>
      <c r="N390" s="6"/>
    </row>
    <row r="391" spans="2:14">
      <c r="B391" s="6"/>
      <c r="N391" s="6"/>
    </row>
    <row r="392" spans="2:14">
      <c r="B392" s="6"/>
      <c r="N392" s="6"/>
    </row>
    <row r="393" spans="2:14">
      <c r="B393" s="6"/>
      <c r="N393" s="6"/>
    </row>
    <row r="394" spans="2:14">
      <c r="B394" s="6"/>
      <c r="N394" s="6"/>
    </row>
    <row r="395" spans="2:14">
      <c r="B395" s="6"/>
      <c r="N395" s="6"/>
    </row>
    <row r="396" spans="2:14">
      <c r="B396" s="6"/>
      <c r="N396" s="6"/>
    </row>
    <row r="397" spans="2:14">
      <c r="B397" s="6"/>
      <c r="N397" s="6"/>
    </row>
    <row r="398" spans="2:14">
      <c r="B398" s="6"/>
      <c r="N398" s="6"/>
    </row>
    <row r="399" spans="2:14">
      <c r="B399" s="6"/>
      <c r="N399" s="6"/>
    </row>
    <row r="400" spans="2:14">
      <c r="B400" s="6"/>
      <c r="N400" s="6"/>
    </row>
    <row r="401" spans="2:14">
      <c r="B401" s="6"/>
      <c r="N401" s="6"/>
    </row>
    <row r="402" spans="2:14">
      <c r="B402" s="6"/>
      <c r="N402" s="6"/>
    </row>
    <row r="403" spans="2:14">
      <c r="B403" s="6"/>
      <c r="N403" s="6"/>
    </row>
    <row r="404" spans="2:14">
      <c r="B404" s="6"/>
      <c r="N404" s="6"/>
    </row>
    <row r="405" spans="2:14">
      <c r="B405" s="6"/>
      <c r="N405" s="6"/>
    </row>
    <row r="406" spans="2:14">
      <c r="B406" s="6"/>
      <c r="N406" s="6"/>
    </row>
    <row r="407" spans="2:14">
      <c r="B407" s="6"/>
      <c r="N407" s="6"/>
    </row>
    <row r="408" spans="2:14">
      <c r="B408" s="6"/>
      <c r="N408" s="6"/>
    </row>
    <row r="409" spans="2:14">
      <c r="B409" s="6"/>
      <c r="N409" s="6"/>
    </row>
    <row r="410" spans="2:14">
      <c r="B410" s="6"/>
      <c r="N410" s="6"/>
    </row>
    <row r="411" spans="2:14">
      <c r="B411" s="6"/>
      <c r="N411" s="6"/>
    </row>
    <row r="412" spans="2:14">
      <c r="B412" s="6"/>
      <c r="N412" s="6"/>
    </row>
    <row r="413" spans="2:14">
      <c r="B413" s="6"/>
      <c r="N413" s="6"/>
    </row>
    <row r="414" spans="2:14">
      <c r="B414" s="6"/>
      <c r="N414" s="6"/>
    </row>
    <row r="415" spans="2:14">
      <c r="B415" s="6"/>
      <c r="N415" s="6"/>
    </row>
    <row r="416" spans="2:14">
      <c r="B416" s="6"/>
      <c r="N416" s="6"/>
    </row>
    <row r="417" spans="2:14">
      <c r="B417" s="6"/>
      <c r="N417" s="6"/>
    </row>
    <row r="418" spans="2:14">
      <c r="B418" s="6"/>
      <c r="N418" s="6"/>
    </row>
    <row r="419" spans="2:14">
      <c r="B419" s="6"/>
      <c r="N419" s="6"/>
    </row>
    <row r="420" spans="2:14">
      <c r="B420" s="6"/>
      <c r="N420" s="6"/>
    </row>
    <row r="421" spans="2:14">
      <c r="B421" s="6"/>
      <c r="N421" s="6"/>
    </row>
    <row r="422" spans="2:14">
      <c r="B422" s="6"/>
      <c r="N422" s="6"/>
    </row>
    <row r="423" spans="2:14">
      <c r="B423" s="6"/>
      <c r="N423" s="6"/>
    </row>
    <row r="424" spans="2:14">
      <c r="B424" s="6"/>
      <c r="N424" s="6"/>
    </row>
    <row r="425" spans="2:14">
      <c r="B425" s="6"/>
      <c r="N425" s="6"/>
    </row>
    <row r="426" spans="2:14">
      <c r="B426" s="6"/>
      <c r="N426" s="6"/>
    </row>
    <row r="427" spans="2:14">
      <c r="B427" s="6"/>
      <c r="N427" s="6"/>
    </row>
    <row r="428" spans="2:14">
      <c r="B428" s="6"/>
      <c r="N428" s="6"/>
    </row>
    <row r="429" spans="2:14">
      <c r="B429" s="6"/>
      <c r="N429" s="6"/>
    </row>
    <row r="430" spans="2:14">
      <c r="B430" s="6"/>
      <c r="N430" s="6"/>
    </row>
    <row r="431" spans="2:14">
      <c r="B431" s="6"/>
      <c r="N431" s="6"/>
    </row>
    <row r="432" spans="2:14">
      <c r="B432" s="6"/>
      <c r="N432" s="6"/>
    </row>
    <row r="433" spans="2:14">
      <c r="B433" s="6"/>
      <c r="N433" s="6"/>
    </row>
    <row r="434" spans="2:14">
      <c r="B434" s="6"/>
      <c r="N434" s="6"/>
    </row>
    <row r="435" spans="2:14">
      <c r="B435" s="6"/>
      <c r="N435" s="6"/>
    </row>
    <row r="436" spans="2:14">
      <c r="B436" s="6"/>
      <c r="N436" s="6"/>
    </row>
    <row r="437" spans="2:14">
      <c r="B437" s="6"/>
      <c r="N437" s="6"/>
    </row>
    <row r="438" spans="2:14">
      <c r="B438" s="6"/>
      <c r="N438" s="6"/>
    </row>
    <row r="439" spans="2:14">
      <c r="B439" s="6"/>
      <c r="N439" s="6"/>
    </row>
    <row r="440" spans="2:14">
      <c r="B440" s="6"/>
      <c r="N440" s="6"/>
    </row>
    <row r="441" spans="2:14">
      <c r="B441" s="6"/>
      <c r="N441" s="6"/>
    </row>
    <row r="442" spans="2:14">
      <c r="B442" s="6"/>
      <c r="N442" s="6"/>
    </row>
    <row r="443" spans="2:14">
      <c r="B443" s="6"/>
      <c r="N443" s="6"/>
    </row>
    <row r="444" spans="2:14">
      <c r="B444" s="6"/>
      <c r="N444" s="6"/>
    </row>
    <row r="445" spans="2:14">
      <c r="B445" s="6"/>
      <c r="N445" s="6"/>
    </row>
    <row r="446" spans="2:14">
      <c r="B446" s="6"/>
      <c r="N446" s="6"/>
    </row>
    <row r="447" spans="2:14">
      <c r="B447" s="6"/>
      <c r="N447" s="6"/>
    </row>
    <row r="448" spans="2:14">
      <c r="B448" s="6"/>
      <c r="N448" s="6"/>
    </row>
    <row r="449" spans="2:14">
      <c r="B449" s="6"/>
      <c r="N449" s="6"/>
    </row>
    <row r="450" spans="2:14">
      <c r="B450" s="6"/>
      <c r="N450" s="6"/>
    </row>
    <row r="451" spans="2:14">
      <c r="B451" s="6"/>
      <c r="N451" s="6"/>
    </row>
    <row r="452" spans="2:14">
      <c r="B452" s="6"/>
      <c r="N452" s="6"/>
    </row>
    <row r="453" spans="2:14">
      <c r="B453" s="6"/>
      <c r="N453" s="6"/>
    </row>
    <row r="454" spans="2:14">
      <c r="B454" s="6"/>
      <c r="N454" s="6"/>
    </row>
    <row r="455" spans="2:14">
      <c r="B455" s="6"/>
      <c r="N455" s="6"/>
    </row>
    <row r="456" spans="2:14">
      <c r="B456" s="6"/>
      <c r="N456" s="6"/>
    </row>
    <row r="457" spans="2:14">
      <c r="B457" s="6"/>
      <c r="N457" s="6"/>
    </row>
    <row r="458" spans="2:14">
      <c r="B458" s="6"/>
      <c r="N458" s="6"/>
    </row>
    <row r="459" spans="2:14">
      <c r="B459" s="6"/>
      <c r="N459" s="6"/>
    </row>
    <row r="460" spans="2:14">
      <c r="B460" s="6"/>
      <c r="N460" s="6"/>
    </row>
    <row r="461" spans="2:14">
      <c r="B461" s="6"/>
      <c r="N461" s="6"/>
    </row>
    <row r="462" spans="2:14">
      <c r="B462" s="6"/>
      <c r="N462" s="6"/>
    </row>
    <row r="463" spans="2:14">
      <c r="B463" s="6"/>
      <c r="N463" s="6"/>
    </row>
    <row r="464" spans="2:14">
      <c r="B464" s="6"/>
      <c r="N464" s="6"/>
    </row>
    <row r="465" spans="2:14">
      <c r="B465" s="6"/>
      <c r="N465" s="6"/>
    </row>
    <row r="466" spans="2:14">
      <c r="B466" s="6"/>
      <c r="N466" s="6"/>
    </row>
    <row r="467" spans="2:14">
      <c r="B467" s="6"/>
      <c r="N467" s="6"/>
    </row>
    <row r="468" spans="2:14">
      <c r="B468" s="6"/>
      <c r="N468" s="6"/>
    </row>
    <row r="469" spans="2:14">
      <c r="B469" s="6"/>
      <c r="N469" s="6"/>
    </row>
    <row r="470" spans="2:14">
      <c r="B470" s="6"/>
      <c r="N470" s="6"/>
    </row>
    <row r="471" spans="2:14">
      <c r="B471" s="6"/>
      <c r="N471" s="6"/>
    </row>
    <row r="472" spans="2:14">
      <c r="B472" s="6"/>
      <c r="N472" s="6"/>
    </row>
    <row r="473" spans="2:14">
      <c r="B473" s="6"/>
      <c r="N473" s="6"/>
    </row>
    <row r="474" spans="2:14">
      <c r="B474" s="6"/>
      <c r="N474" s="6"/>
    </row>
    <row r="475" spans="2:14">
      <c r="B475" s="6"/>
      <c r="N475" s="6"/>
    </row>
    <row r="476" spans="2:14">
      <c r="B476" s="6"/>
      <c r="N476" s="6"/>
    </row>
    <row r="477" spans="2:14">
      <c r="B477" s="6"/>
      <c r="N477" s="6"/>
    </row>
    <row r="478" spans="2:14">
      <c r="B478" s="6"/>
      <c r="N478" s="6"/>
    </row>
    <row r="479" spans="2:14">
      <c r="B479" s="6"/>
      <c r="N479" s="6"/>
    </row>
    <row r="480" spans="2:14">
      <c r="B480" s="6"/>
      <c r="N480" s="6"/>
    </row>
    <row r="481" spans="2:14">
      <c r="B481" s="6"/>
      <c r="N481" s="6"/>
    </row>
    <row r="482" spans="2:14">
      <c r="B482" s="6"/>
      <c r="N482" s="6"/>
    </row>
    <row r="483" spans="2:14">
      <c r="B483" s="6"/>
      <c r="N483" s="6"/>
    </row>
    <row r="484" spans="2:14">
      <c r="B484" s="6"/>
      <c r="N484" s="6"/>
    </row>
    <row r="485" spans="2:14">
      <c r="B485" s="6"/>
      <c r="N485" s="6"/>
    </row>
    <row r="486" spans="2:14">
      <c r="B486" s="6"/>
      <c r="N486" s="6"/>
    </row>
    <row r="487" spans="2:14">
      <c r="B487" s="6"/>
      <c r="N487" s="6"/>
    </row>
    <row r="488" spans="2:14">
      <c r="B488" s="6"/>
      <c r="N488" s="6"/>
    </row>
    <row r="489" spans="2:14">
      <c r="B489" s="6"/>
      <c r="N489" s="6"/>
    </row>
    <row r="490" spans="2:14">
      <c r="B490" s="6"/>
      <c r="N490" s="6"/>
    </row>
    <row r="491" spans="2:14">
      <c r="B491" s="6"/>
      <c r="N491" s="6"/>
    </row>
    <row r="492" spans="2:14">
      <c r="B492" s="6"/>
      <c r="N492" s="6"/>
    </row>
    <row r="493" spans="2:14">
      <c r="B493" s="6"/>
      <c r="N493" s="6"/>
    </row>
    <row r="494" spans="2:14">
      <c r="B494" s="6"/>
      <c r="N494" s="6"/>
    </row>
    <row r="495" spans="2:14">
      <c r="B495" s="6"/>
      <c r="N495" s="6"/>
    </row>
    <row r="496" spans="2:14">
      <c r="B496" s="6"/>
      <c r="N496" s="6"/>
    </row>
    <row r="497" spans="2:14">
      <c r="B497" s="6"/>
      <c r="N497" s="6"/>
    </row>
    <row r="498" spans="2:14">
      <c r="B498" s="6"/>
      <c r="N498" s="6"/>
    </row>
    <row r="499" spans="2:14">
      <c r="B499" s="6"/>
      <c r="N499" s="6"/>
    </row>
    <row r="500" spans="2:14">
      <c r="B500" s="6"/>
      <c r="N500" s="6"/>
    </row>
    <row r="501" spans="2:14">
      <c r="B501" s="6"/>
      <c r="N501" s="6"/>
    </row>
    <row r="502" spans="2:14">
      <c r="B502" s="6"/>
      <c r="N502" s="6"/>
    </row>
    <row r="503" spans="2:14">
      <c r="B503" s="6"/>
      <c r="N503" s="6"/>
    </row>
    <row r="504" spans="2:14">
      <c r="B504" s="6"/>
      <c r="N504" s="6"/>
    </row>
    <row r="505" spans="2:14">
      <c r="B505" s="6"/>
      <c r="N505" s="6"/>
    </row>
    <row r="506" spans="2:14">
      <c r="B506" s="6"/>
      <c r="N506" s="6"/>
    </row>
    <row r="507" spans="2:14">
      <c r="B507" s="6"/>
      <c r="N507" s="6"/>
    </row>
    <row r="508" spans="2:14">
      <c r="B508" s="6"/>
      <c r="N508" s="6"/>
    </row>
    <row r="509" spans="2:14">
      <c r="B509" s="6"/>
      <c r="N509" s="6"/>
    </row>
    <row r="510" spans="2:14">
      <c r="B510" s="6"/>
      <c r="N510" s="6"/>
    </row>
    <row r="511" spans="2:14">
      <c r="B511" s="6"/>
      <c r="N511" s="6"/>
    </row>
    <row r="512" spans="2:14">
      <c r="B512" s="6"/>
      <c r="N512" s="6"/>
    </row>
    <row r="513" spans="2:14">
      <c r="B513" s="6"/>
      <c r="N513" s="6"/>
    </row>
    <row r="514" spans="2:14">
      <c r="B514" s="6"/>
      <c r="N514" s="6"/>
    </row>
    <row r="515" spans="2:14">
      <c r="B515" s="6"/>
      <c r="N515" s="6"/>
    </row>
    <row r="516" spans="2:14">
      <c r="B516" s="6"/>
      <c r="N516" s="6"/>
    </row>
    <row r="517" spans="2:14">
      <c r="B517" s="6"/>
      <c r="N517" s="6"/>
    </row>
    <row r="518" spans="2:14">
      <c r="B518" s="6"/>
      <c r="N518" s="6"/>
    </row>
    <row r="519" spans="2:14">
      <c r="B519" s="6"/>
      <c r="N519" s="6"/>
    </row>
    <row r="520" spans="2:14">
      <c r="B520" s="6"/>
      <c r="N520" s="6"/>
    </row>
    <row r="521" spans="2:14">
      <c r="B521" s="6"/>
      <c r="N521" s="6"/>
    </row>
    <row r="522" spans="2:14">
      <c r="B522" s="6"/>
      <c r="N522" s="6"/>
    </row>
    <row r="523" spans="2:14">
      <c r="B523" s="6"/>
      <c r="N523" s="6"/>
    </row>
    <row r="524" spans="2:14">
      <c r="B524" s="6"/>
      <c r="N524" s="6"/>
    </row>
    <row r="525" spans="2:14">
      <c r="B525" s="6"/>
      <c r="N525" s="6"/>
    </row>
    <row r="526" spans="2:14">
      <c r="B526" s="6"/>
      <c r="N526" s="6"/>
    </row>
    <row r="527" spans="2:14">
      <c r="B527" s="6"/>
      <c r="N527" s="6"/>
    </row>
    <row r="528" spans="2:14">
      <c r="B528" s="6"/>
      <c r="N528" s="6"/>
    </row>
    <row r="529" spans="2:14">
      <c r="B529" s="6"/>
      <c r="N529" s="6"/>
    </row>
    <row r="530" spans="2:14">
      <c r="B530" s="6"/>
      <c r="N530" s="6"/>
    </row>
    <row r="531" spans="2:14">
      <c r="B531" s="6"/>
      <c r="N531" s="6"/>
    </row>
    <row r="532" spans="2:14">
      <c r="B532" s="6"/>
      <c r="N532" s="6"/>
    </row>
    <row r="533" spans="2:14">
      <c r="B533" s="6"/>
      <c r="N533" s="6"/>
    </row>
    <row r="534" spans="2:14">
      <c r="B534" s="6"/>
      <c r="N534" s="6"/>
    </row>
    <row r="535" spans="2:14">
      <c r="B535" s="6"/>
      <c r="N535" s="6"/>
    </row>
    <row r="536" spans="2:14">
      <c r="B536" s="6"/>
      <c r="N536" s="6"/>
    </row>
    <row r="537" spans="2:14">
      <c r="B537" s="6"/>
      <c r="N537" s="6"/>
    </row>
    <row r="538" spans="2:14">
      <c r="B538" s="6"/>
      <c r="N538" s="6"/>
    </row>
    <row r="539" spans="2:14">
      <c r="B539" s="6"/>
      <c r="N539" s="6"/>
    </row>
    <row r="540" spans="2:14">
      <c r="B540" s="6"/>
      <c r="N540" s="6"/>
    </row>
    <row r="541" spans="2:14">
      <c r="B541" s="6"/>
      <c r="N541" s="6"/>
    </row>
    <row r="542" spans="2:14">
      <c r="B542" s="6"/>
      <c r="N542" s="6"/>
    </row>
    <row r="543" spans="2:14">
      <c r="B543" s="6"/>
      <c r="N543" s="6"/>
    </row>
    <row r="544" spans="2:14">
      <c r="B544" s="6"/>
      <c r="N544" s="6"/>
    </row>
    <row r="545" spans="2:14">
      <c r="B545" s="6"/>
      <c r="N545" s="6"/>
    </row>
    <row r="546" spans="2:14">
      <c r="B546" s="6"/>
      <c r="N546" s="6"/>
    </row>
    <row r="547" spans="2:14">
      <c r="B547" s="6"/>
      <c r="N547" s="6"/>
    </row>
    <row r="548" spans="2:14">
      <c r="B548" s="6"/>
      <c r="N548" s="6"/>
    </row>
    <row r="549" spans="2:14">
      <c r="B549" s="6"/>
      <c r="N549" s="6"/>
    </row>
    <row r="550" spans="2:14">
      <c r="B550" s="6"/>
      <c r="N550" s="6"/>
    </row>
    <row r="551" spans="2:14">
      <c r="B551" s="6"/>
      <c r="N551" s="6"/>
    </row>
    <row r="552" spans="2:14">
      <c r="B552" s="6"/>
      <c r="N552" s="6"/>
    </row>
    <row r="553" spans="2:14">
      <c r="B553" s="6"/>
      <c r="N553" s="6"/>
    </row>
    <row r="554" spans="2:14">
      <c r="B554" s="6"/>
      <c r="N554" s="6"/>
    </row>
    <row r="555" spans="2:14">
      <c r="B555" s="6"/>
      <c r="N555" s="6"/>
    </row>
    <row r="556" spans="2:14">
      <c r="B556" s="6"/>
      <c r="N556" s="6"/>
    </row>
    <row r="557" spans="2:14">
      <c r="B557" s="6"/>
      <c r="N557" s="6"/>
    </row>
    <row r="558" spans="2:14">
      <c r="B558" s="6"/>
      <c r="N558" s="6"/>
    </row>
    <row r="559" spans="2:14">
      <c r="B559" s="6"/>
      <c r="N559" s="6"/>
    </row>
    <row r="560" spans="2:14">
      <c r="B560" s="6"/>
      <c r="N560" s="6"/>
    </row>
    <row r="561" spans="2:14">
      <c r="B561" s="6"/>
      <c r="N561" s="6"/>
    </row>
    <row r="562" spans="2:14">
      <c r="B562" s="6"/>
      <c r="N562" s="6"/>
    </row>
    <row r="563" spans="2:14">
      <c r="B563" s="6"/>
      <c r="N563" s="6"/>
    </row>
    <row r="564" spans="2:14">
      <c r="B564" s="6"/>
      <c r="N564" s="6"/>
    </row>
    <row r="565" spans="2:14">
      <c r="B565" s="6"/>
      <c r="N565" s="6"/>
    </row>
    <row r="566" spans="2:14">
      <c r="B566" s="6"/>
      <c r="N566" s="6"/>
    </row>
    <row r="567" spans="2:14">
      <c r="B567" s="6"/>
      <c r="N567" s="6"/>
    </row>
    <row r="568" spans="2:14">
      <c r="B568" s="6"/>
      <c r="N568" s="6"/>
    </row>
    <row r="569" spans="2:14">
      <c r="B569" s="6"/>
      <c r="N569" s="6"/>
    </row>
    <row r="570" spans="2:14">
      <c r="B570" s="6"/>
      <c r="N570" s="6"/>
    </row>
    <row r="571" spans="2:14">
      <c r="B571" s="6"/>
      <c r="N571" s="6"/>
    </row>
    <row r="572" spans="2:14">
      <c r="B572" s="6"/>
      <c r="N572" s="6"/>
    </row>
    <row r="573" spans="2:14">
      <c r="B573" s="6"/>
      <c r="N573" s="6"/>
    </row>
    <row r="574" spans="2:14">
      <c r="B574" s="6"/>
      <c r="N574" s="6"/>
    </row>
    <row r="575" spans="2:14">
      <c r="B575" s="6"/>
      <c r="N575" s="6"/>
    </row>
    <row r="576" spans="2:14">
      <c r="B576" s="6"/>
      <c r="N576" s="6"/>
    </row>
    <row r="577" spans="2:14">
      <c r="B577" s="6"/>
      <c r="N577" s="6"/>
    </row>
    <row r="578" spans="2:14">
      <c r="B578" s="6"/>
      <c r="N578" s="6"/>
    </row>
    <row r="579" spans="2:14">
      <c r="B579" s="6"/>
      <c r="N579" s="6"/>
    </row>
    <row r="580" spans="2:14">
      <c r="B580" s="6"/>
      <c r="N580" s="6"/>
    </row>
    <row r="581" spans="2:14">
      <c r="B581" s="6"/>
      <c r="N581" s="6"/>
    </row>
    <row r="582" spans="2:14">
      <c r="B582" s="6"/>
      <c r="N582" s="6"/>
    </row>
    <row r="583" spans="2:14">
      <c r="B583" s="6"/>
      <c r="N583" s="6"/>
    </row>
    <row r="584" spans="2:14">
      <c r="B584" s="6"/>
      <c r="N584" s="6"/>
    </row>
    <row r="585" spans="2:14">
      <c r="B585" s="6"/>
      <c r="N585" s="6"/>
    </row>
    <row r="586" spans="2:14">
      <c r="B586" s="6"/>
      <c r="N586" s="6"/>
    </row>
    <row r="587" spans="2:14">
      <c r="B587" s="6"/>
      <c r="N587" s="6"/>
    </row>
    <row r="588" spans="2:14">
      <c r="B588" s="6"/>
      <c r="N588" s="6"/>
    </row>
    <row r="589" spans="2:14">
      <c r="B589" s="6"/>
      <c r="N589" s="6"/>
    </row>
    <row r="590" spans="2:14">
      <c r="B590" s="6"/>
      <c r="N590" s="6"/>
    </row>
    <row r="591" spans="2:14">
      <c r="B591" s="6"/>
      <c r="N591" s="6"/>
    </row>
    <row r="592" spans="2:14">
      <c r="B592" s="6"/>
      <c r="N592" s="6"/>
    </row>
    <row r="593" spans="2:14">
      <c r="B593" s="6"/>
      <c r="N593" s="6"/>
    </row>
    <row r="594" spans="2:14">
      <c r="B594" s="6"/>
      <c r="N594" s="6"/>
    </row>
    <row r="595" spans="2:14">
      <c r="B595" s="6"/>
      <c r="N595" s="6"/>
    </row>
    <row r="596" spans="2:14">
      <c r="B596" s="6"/>
      <c r="N596" s="6"/>
    </row>
    <row r="597" spans="2:14">
      <c r="B597" s="6"/>
      <c r="N597" s="6"/>
    </row>
    <row r="598" spans="2:14">
      <c r="B598" s="6"/>
      <c r="N598" s="6"/>
    </row>
    <row r="599" spans="2:14">
      <c r="B599" s="6"/>
      <c r="N599" s="6"/>
    </row>
    <row r="600" spans="2:14">
      <c r="B600" s="6"/>
      <c r="N600" s="6"/>
    </row>
    <row r="601" spans="2:14">
      <c r="B601" s="6"/>
      <c r="N601" s="6"/>
    </row>
    <row r="602" spans="2:14">
      <c r="B602" s="6"/>
      <c r="N602" s="6"/>
    </row>
    <row r="603" spans="2:14">
      <c r="B603" s="6"/>
      <c r="N603" s="6"/>
    </row>
    <row r="604" spans="2:14">
      <c r="B604" s="6"/>
      <c r="N604" s="6"/>
    </row>
    <row r="605" spans="2:14">
      <c r="B605" s="6"/>
      <c r="N605" s="6"/>
    </row>
    <row r="606" spans="2:14">
      <c r="B606" s="6"/>
      <c r="N606" s="6"/>
    </row>
    <row r="607" spans="2:14">
      <c r="B607" s="6"/>
      <c r="N607" s="6"/>
    </row>
    <row r="608" spans="2:14">
      <c r="B608" s="6"/>
      <c r="N608" s="6"/>
    </row>
    <row r="609" spans="2:14">
      <c r="B609" s="6"/>
      <c r="N609" s="6"/>
    </row>
    <row r="610" spans="2:14">
      <c r="B610" s="6"/>
      <c r="N610" s="6"/>
    </row>
    <row r="611" spans="2:14">
      <c r="B611" s="6"/>
      <c r="N611" s="6"/>
    </row>
    <row r="612" spans="2:14">
      <c r="B612" s="6"/>
      <c r="N612" s="6"/>
    </row>
    <row r="613" spans="2:14">
      <c r="B613" s="6"/>
      <c r="N613" s="6"/>
    </row>
    <row r="614" spans="2:14">
      <c r="B614" s="6"/>
      <c r="N614" s="6"/>
    </row>
    <row r="615" spans="2:14">
      <c r="B615" s="6"/>
      <c r="N615" s="6"/>
    </row>
    <row r="616" spans="2:14">
      <c r="B616" s="6"/>
      <c r="N616" s="6"/>
    </row>
    <row r="617" spans="2:14">
      <c r="B617" s="6"/>
      <c r="N617" s="6"/>
    </row>
    <row r="618" spans="2:14">
      <c r="B618" s="6"/>
      <c r="N618" s="6"/>
    </row>
    <row r="619" spans="2:14">
      <c r="B619" s="6"/>
      <c r="N619" s="6"/>
    </row>
    <row r="620" spans="2:14">
      <c r="B620" s="6"/>
      <c r="N620" s="6"/>
    </row>
    <row r="621" spans="2:14">
      <c r="B621" s="6"/>
      <c r="N621" s="6"/>
    </row>
    <row r="622" spans="2:14">
      <c r="B622" s="6"/>
      <c r="N622" s="6"/>
    </row>
    <row r="623" spans="2:14">
      <c r="B623" s="6"/>
      <c r="N623" s="6"/>
    </row>
    <row r="624" spans="2:14">
      <c r="B624" s="6"/>
      <c r="N624" s="6"/>
    </row>
    <row r="625" spans="2:14">
      <c r="B625" s="6"/>
      <c r="N625" s="6"/>
    </row>
    <row r="626" spans="2:14">
      <c r="B626" s="6"/>
      <c r="N626" s="6"/>
    </row>
    <row r="627" spans="2:14">
      <c r="B627" s="6"/>
      <c r="N627" s="6"/>
    </row>
    <row r="628" spans="2:14">
      <c r="B628" s="6"/>
      <c r="N628" s="6"/>
    </row>
    <row r="629" spans="2:14">
      <c r="B629" s="6"/>
      <c r="N629" s="6"/>
    </row>
    <row r="630" spans="2:14">
      <c r="B630" s="6"/>
      <c r="N630" s="6"/>
    </row>
    <row r="631" spans="2:14">
      <c r="B631" s="6"/>
      <c r="N631" s="6"/>
    </row>
    <row r="632" spans="2:14">
      <c r="B632" s="6"/>
      <c r="N632" s="6"/>
    </row>
    <row r="633" spans="2:14">
      <c r="B633" s="6"/>
      <c r="N633" s="6"/>
    </row>
    <row r="634" spans="2:14">
      <c r="B634" s="6"/>
      <c r="N634" s="6"/>
    </row>
    <row r="635" spans="2:14">
      <c r="B635" s="6"/>
      <c r="N635" s="6"/>
    </row>
    <row r="636" spans="2:14">
      <c r="B636" s="6"/>
      <c r="N636" s="6"/>
    </row>
    <row r="637" spans="2:14">
      <c r="B637" s="6"/>
      <c r="N637" s="6"/>
    </row>
    <row r="638" spans="2:14">
      <c r="B638" s="6"/>
      <c r="N638" s="6"/>
    </row>
    <row r="639" spans="2:14">
      <c r="B639" s="6"/>
      <c r="N639" s="6"/>
    </row>
    <row r="640" spans="2:14">
      <c r="B640" s="6"/>
      <c r="N640" s="6"/>
    </row>
    <row r="641" spans="2:14">
      <c r="B641" s="6"/>
      <c r="N641" s="6"/>
    </row>
    <row r="642" spans="2:14">
      <c r="B642" s="6"/>
      <c r="N642" s="6"/>
    </row>
    <row r="643" spans="2:14">
      <c r="B643" s="6"/>
      <c r="N643" s="6"/>
    </row>
    <row r="644" spans="2:14">
      <c r="B644" s="6"/>
      <c r="N644" s="6"/>
    </row>
    <row r="645" spans="2:14">
      <c r="B645" s="6"/>
      <c r="N645" s="6"/>
    </row>
    <row r="646" spans="2:14">
      <c r="B646" s="6"/>
      <c r="N646" s="6"/>
    </row>
    <row r="647" spans="2:14">
      <c r="B647" s="6"/>
      <c r="N647" s="6"/>
    </row>
    <row r="648" spans="2:14">
      <c r="B648" s="6"/>
      <c r="N648" s="6"/>
    </row>
    <row r="649" spans="2:14">
      <c r="B649" s="6"/>
      <c r="N649" s="6"/>
    </row>
    <row r="650" spans="2:14">
      <c r="B650" s="6"/>
      <c r="N650" s="6"/>
    </row>
    <row r="651" spans="2:14">
      <c r="B651" s="6"/>
      <c r="N651" s="6"/>
    </row>
    <row r="652" spans="2:14">
      <c r="B652" s="6"/>
      <c r="N652" s="6"/>
    </row>
    <row r="653" spans="2:14">
      <c r="B653" s="6"/>
      <c r="N653" s="6"/>
    </row>
    <row r="654" spans="2:14">
      <c r="B654" s="6"/>
      <c r="N654" s="6"/>
    </row>
    <row r="655" spans="2:14">
      <c r="B655" s="6"/>
      <c r="N655" s="6"/>
    </row>
    <row r="656" spans="2:14">
      <c r="B656" s="6"/>
      <c r="N656" s="6"/>
    </row>
    <row r="657" spans="2:14">
      <c r="B657" s="6"/>
      <c r="N657" s="6"/>
    </row>
    <row r="658" spans="2:14">
      <c r="B658" s="6"/>
      <c r="N658" s="6"/>
    </row>
    <row r="659" spans="2:14">
      <c r="B659" s="6"/>
      <c r="N659" s="6"/>
    </row>
    <row r="660" spans="2:14">
      <c r="B660" s="6"/>
      <c r="N660" s="6"/>
    </row>
    <row r="661" spans="2:14">
      <c r="B661" s="6"/>
      <c r="N661" s="6"/>
    </row>
    <row r="662" spans="2:14">
      <c r="B662" s="6"/>
      <c r="N662" s="6"/>
    </row>
    <row r="663" spans="2:14">
      <c r="B663" s="6"/>
      <c r="N663" s="6"/>
    </row>
    <row r="664" spans="2:14">
      <c r="B664" s="6"/>
      <c r="N664" s="6"/>
    </row>
    <row r="665" spans="2:14">
      <c r="B665" s="6"/>
      <c r="N665" s="6"/>
    </row>
    <row r="666" spans="2:14">
      <c r="B666" s="6"/>
      <c r="N666" s="6"/>
    </row>
    <row r="667" spans="2:14">
      <c r="B667" s="6"/>
      <c r="N667" s="6"/>
    </row>
    <row r="668" spans="2:14">
      <c r="B668" s="6"/>
      <c r="N668" s="6"/>
    </row>
    <row r="669" spans="2:14">
      <c r="B669" s="6"/>
      <c r="N669" s="6"/>
    </row>
    <row r="670" spans="2:14">
      <c r="B670" s="6"/>
      <c r="N670" s="6"/>
    </row>
    <row r="671" spans="2:14">
      <c r="B671" s="6"/>
      <c r="N671" s="6"/>
    </row>
    <row r="672" spans="2:14">
      <c r="B672" s="6"/>
      <c r="N672" s="6"/>
    </row>
    <row r="673" spans="2:14">
      <c r="B673" s="6"/>
      <c r="N673" s="6"/>
    </row>
    <row r="674" spans="2:14">
      <c r="B674" s="6"/>
      <c r="N674" s="6"/>
    </row>
    <row r="675" spans="2:14">
      <c r="B675" s="6"/>
      <c r="N675" s="6"/>
    </row>
    <row r="676" spans="2:14">
      <c r="B676" s="6"/>
      <c r="N676" s="6"/>
    </row>
    <row r="677" spans="2:14">
      <c r="B677" s="6"/>
      <c r="N677" s="6"/>
    </row>
    <row r="678" spans="2:14">
      <c r="B678" s="6"/>
      <c r="N678" s="6"/>
    </row>
    <row r="679" spans="2:14">
      <c r="B679" s="6"/>
      <c r="N679" s="6"/>
    </row>
    <row r="680" spans="2:14">
      <c r="B680" s="6"/>
      <c r="N680" s="6"/>
    </row>
    <row r="681" spans="2:14">
      <c r="B681" s="6"/>
      <c r="N681" s="6"/>
    </row>
    <row r="682" spans="2:14">
      <c r="B682" s="6"/>
      <c r="N682" s="6"/>
    </row>
    <row r="683" spans="2:14">
      <c r="B683" s="6"/>
      <c r="N683" s="6"/>
    </row>
    <row r="684" spans="2:14">
      <c r="B684" s="6"/>
      <c r="N684" s="6"/>
    </row>
    <row r="685" spans="2:14">
      <c r="B685" s="6"/>
      <c r="N685" s="6"/>
    </row>
    <row r="686" spans="2:14">
      <c r="B686" s="6"/>
      <c r="N686" s="6"/>
    </row>
    <row r="687" spans="2:14">
      <c r="B687" s="6"/>
      <c r="N687" s="6"/>
    </row>
    <row r="688" spans="2:14">
      <c r="B688" s="6"/>
      <c r="N688" s="6"/>
    </row>
    <row r="689" spans="2:14">
      <c r="B689" s="6"/>
      <c r="N689" s="6"/>
    </row>
    <row r="690" spans="2:14">
      <c r="B690" s="6"/>
      <c r="N690" s="6"/>
    </row>
    <row r="691" spans="2:14">
      <c r="B691" s="6"/>
      <c r="N691" s="6"/>
    </row>
    <row r="692" spans="2:14">
      <c r="B692" s="6"/>
      <c r="N692" s="6"/>
    </row>
    <row r="693" spans="2:14">
      <c r="B693" s="6"/>
      <c r="N693" s="6"/>
    </row>
    <row r="694" spans="2:14">
      <c r="B694" s="6"/>
      <c r="N694" s="6"/>
    </row>
    <row r="695" spans="2:14">
      <c r="B695" s="6"/>
      <c r="N695" s="6"/>
    </row>
    <row r="696" spans="2:14">
      <c r="B696" s="6"/>
      <c r="N696" s="6"/>
    </row>
    <row r="697" spans="2:14">
      <c r="B697" s="6"/>
      <c r="N697" s="6"/>
    </row>
    <row r="698" spans="2:14">
      <c r="B698" s="6"/>
      <c r="N698" s="6"/>
    </row>
    <row r="699" spans="2:14">
      <c r="B699" s="6"/>
      <c r="N699" s="6"/>
    </row>
    <row r="700" spans="2:14">
      <c r="B700" s="6"/>
      <c r="N700" s="6"/>
    </row>
    <row r="701" spans="2:14">
      <c r="B701" s="6"/>
      <c r="N701" s="6"/>
    </row>
    <row r="702" spans="2:14">
      <c r="B702" s="6"/>
      <c r="N702" s="6"/>
    </row>
    <row r="703" spans="2:14">
      <c r="B703" s="6"/>
      <c r="N703" s="6"/>
    </row>
    <row r="704" spans="2:14">
      <c r="B704" s="6"/>
      <c r="N704" s="6"/>
    </row>
    <row r="705" spans="2:14">
      <c r="B705" s="6"/>
      <c r="N705" s="6"/>
    </row>
    <row r="706" spans="2:14">
      <c r="B706" s="6"/>
      <c r="N706" s="6"/>
    </row>
    <row r="707" spans="2:14">
      <c r="B707" s="6"/>
      <c r="N707" s="6"/>
    </row>
    <row r="708" spans="2:14">
      <c r="B708" s="6"/>
      <c r="N708" s="6"/>
    </row>
    <row r="709" spans="2:14">
      <c r="B709" s="6"/>
      <c r="N709" s="6"/>
    </row>
    <row r="710" spans="2:14">
      <c r="B710" s="6"/>
      <c r="N710" s="6"/>
    </row>
    <row r="711" spans="2:14">
      <c r="B711" s="6"/>
      <c r="N711" s="6"/>
    </row>
    <row r="712" spans="2:14">
      <c r="B712" s="6"/>
      <c r="N712" s="6"/>
    </row>
    <row r="713" spans="2:14">
      <c r="B713" s="6"/>
      <c r="N713" s="6"/>
    </row>
    <row r="714" spans="2:14">
      <c r="B714" s="6"/>
      <c r="N714" s="6"/>
    </row>
    <row r="715" spans="2:14">
      <c r="B715" s="6"/>
      <c r="N715" s="6"/>
    </row>
    <row r="716" spans="2:14">
      <c r="B716" s="6"/>
      <c r="N716" s="6"/>
    </row>
    <row r="717" spans="2:14">
      <c r="B717" s="6"/>
      <c r="N717" s="6"/>
    </row>
    <row r="718" spans="2:14">
      <c r="B718" s="6"/>
      <c r="N718" s="6"/>
    </row>
    <row r="719" spans="2:14">
      <c r="B719" s="6"/>
      <c r="N719" s="6"/>
    </row>
    <row r="720" spans="2:14">
      <c r="B720" s="6"/>
      <c r="N720" s="6"/>
    </row>
    <row r="721" spans="2:14">
      <c r="B721" s="6"/>
      <c r="N721" s="6"/>
    </row>
    <row r="722" spans="2:14">
      <c r="B722" s="6"/>
      <c r="N722" s="6"/>
    </row>
    <row r="723" spans="2:14">
      <c r="B723" s="6"/>
      <c r="N723" s="6"/>
    </row>
    <row r="724" spans="2:14">
      <c r="B724" s="6"/>
      <c r="N724" s="6"/>
    </row>
    <row r="725" spans="2:14">
      <c r="B725" s="6"/>
      <c r="N725" s="6"/>
    </row>
    <row r="726" spans="2:14">
      <c r="B726" s="6"/>
      <c r="N726" s="6"/>
    </row>
    <row r="727" spans="2:14">
      <c r="B727" s="6"/>
      <c r="N727" s="6"/>
    </row>
    <row r="728" spans="2:14">
      <c r="B728" s="6"/>
      <c r="N728" s="6"/>
    </row>
    <row r="729" spans="2:14">
      <c r="B729" s="6"/>
      <c r="N729" s="6"/>
    </row>
    <row r="730" spans="2:14">
      <c r="B730" s="6"/>
      <c r="N730" s="6"/>
    </row>
    <row r="731" spans="2:14">
      <c r="B731" s="6"/>
      <c r="N731" s="6"/>
    </row>
    <row r="732" spans="2:14">
      <c r="B732" s="6"/>
      <c r="N732" s="6"/>
    </row>
    <row r="733" spans="2:14">
      <c r="B733" s="6"/>
      <c r="N733" s="6"/>
    </row>
    <row r="734" spans="2:14">
      <c r="B734" s="6"/>
      <c r="N734" s="6"/>
    </row>
    <row r="735" spans="2:14">
      <c r="B735" s="6"/>
      <c r="N735" s="6"/>
    </row>
    <row r="736" spans="2:14">
      <c r="B736" s="6"/>
      <c r="N736" s="6"/>
    </row>
    <row r="737" spans="2:14">
      <c r="B737" s="6"/>
      <c r="N737" s="6"/>
    </row>
    <row r="738" spans="2:14">
      <c r="B738" s="6"/>
      <c r="N738" s="6"/>
    </row>
    <row r="739" spans="2:14">
      <c r="B739" s="6"/>
      <c r="N739" s="6"/>
    </row>
    <row r="740" spans="2:14">
      <c r="B740" s="6"/>
      <c r="N740" s="6"/>
    </row>
    <row r="741" spans="2:14">
      <c r="B741" s="6"/>
      <c r="N741" s="6"/>
    </row>
    <row r="742" spans="2:14">
      <c r="B742" s="6"/>
      <c r="N742" s="6"/>
    </row>
    <row r="743" spans="2:14">
      <c r="B743" s="6"/>
      <c r="N743" s="6"/>
    </row>
    <row r="744" spans="2:14">
      <c r="B744" s="6"/>
      <c r="N744" s="6"/>
    </row>
    <row r="745" spans="2:14">
      <c r="B745" s="6"/>
      <c r="N745" s="6"/>
    </row>
    <row r="746" spans="2:14">
      <c r="B746" s="6"/>
      <c r="N746" s="6"/>
    </row>
    <row r="747" spans="2:14">
      <c r="B747" s="6"/>
      <c r="N747" s="6"/>
    </row>
    <row r="748" spans="2:14">
      <c r="B748" s="6"/>
      <c r="N748" s="6"/>
    </row>
    <row r="749" spans="2:14">
      <c r="B749" s="6"/>
      <c r="N749" s="6"/>
    </row>
    <row r="750" spans="2:14">
      <c r="B750" s="6"/>
      <c r="N750" s="6"/>
    </row>
    <row r="751" spans="2:14">
      <c r="B751" s="6"/>
      <c r="N751" s="6"/>
    </row>
    <row r="752" spans="2:14">
      <c r="B752" s="6"/>
      <c r="N752" s="6"/>
    </row>
    <row r="753" spans="2:14">
      <c r="B753" s="6"/>
      <c r="N753" s="6"/>
    </row>
    <row r="754" spans="2:14">
      <c r="B754" s="6"/>
      <c r="N754" s="6"/>
    </row>
    <row r="755" spans="2:14">
      <c r="B755" s="6"/>
      <c r="N755" s="6"/>
    </row>
    <row r="756" spans="2:14">
      <c r="B756" s="6"/>
      <c r="N756" s="6"/>
    </row>
    <row r="757" spans="2:14">
      <c r="B757" s="6"/>
      <c r="N757" s="6"/>
    </row>
    <row r="758" spans="2:14">
      <c r="B758" s="6"/>
      <c r="N758" s="6"/>
    </row>
    <row r="759" spans="2:14">
      <c r="B759" s="6"/>
      <c r="N759" s="6"/>
    </row>
    <row r="760" spans="2:14">
      <c r="B760" s="6"/>
      <c r="N760" s="6"/>
    </row>
    <row r="761" spans="2:14">
      <c r="B761" s="6"/>
      <c r="N761" s="6"/>
    </row>
    <row r="762" spans="2:14">
      <c r="B762" s="6"/>
      <c r="N762" s="6"/>
    </row>
    <row r="763" spans="2:14">
      <c r="B763" s="6"/>
      <c r="N763" s="6"/>
    </row>
    <row r="764" spans="2:14">
      <c r="B764" s="6"/>
      <c r="N764" s="6"/>
    </row>
    <row r="765" spans="2:14">
      <c r="B765" s="6"/>
      <c r="N765" s="6"/>
    </row>
    <row r="766" spans="2:14">
      <c r="B766" s="6"/>
      <c r="N766" s="6"/>
    </row>
    <row r="767" spans="2:14">
      <c r="B767" s="6"/>
      <c r="N767" s="6"/>
    </row>
    <row r="768" spans="2:14">
      <c r="B768" s="6"/>
      <c r="N768" s="6"/>
    </row>
    <row r="769" spans="2:14">
      <c r="B769" s="6"/>
      <c r="N769" s="6"/>
    </row>
    <row r="770" spans="2:14">
      <c r="B770" s="6"/>
      <c r="N770" s="6"/>
    </row>
    <row r="771" spans="2:14">
      <c r="B771" s="6"/>
      <c r="N771" s="6"/>
    </row>
    <row r="772" spans="2:14">
      <c r="B772" s="6"/>
      <c r="N772" s="6"/>
    </row>
    <row r="773" spans="2:14">
      <c r="B773" s="6"/>
      <c r="N773" s="6"/>
    </row>
    <row r="774" spans="2:14">
      <c r="B774" s="6"/>
      <c r="N774" s="6"/>
    </row>
    <row r="775" spans="2:14">
      <c r="B775" s="6"/>
      <c r="N775" s="6"/>
    </row>
    <row r="776" spans="2:14">
      <c r="B776" s="6"/>
      <c r="N776" s="6"/>
    </row>
    <row r="777" spans="2:14">
      <c r="B777" s="6"/>
      <c r="N777" s="6"/>
    </row>
    <row r="778" spans="2:14">
      <c r="B778" s="6"/>
      <c r="N778" s="6"/>
    </row>
    <row r="779" spans="2:14">
      <c r="B779" s="6"/>
      <c r="N779" s="6"/>
    </row>
    <row r="780" spans="2:14">
      <c r="B780" s="6"/>
      <c r="N780" s="6"/>
    </row>
    <row r="781" spans="2:14">
      <c r="B781" s="6"/>
      <c r="N781" s="6"/>
    </row>
    <row r="782" spans="2:14">
      <c r="B782" s="6"/>
      <c r="N782" s="6"/>
    </row>
    <row r="783" spans="2:14">
      <c r="B783" s="6"/>
      <c r="N783" s="6"/>
    </row>
    <row r="784" spans="2:14">
      <c r="B784" s="6"/>
      <c r="N784" s="6"/>
    </row>
    <row r="785" spans="2:14">
      <c r="B785" s="6"/>
      <c r="N785" s="6"/>
    </row>
    <row r="786" spans="2:14">
      <c r="B786" s="6"/>
      <c r="N786" s="6"/>
    </row>
    <row r="787" spans="2:14">
      <c r="B787" s="6"/>
      <c r="N787" s="6"/>
    </row>
    <row r="788" spans="2:14">
      <c r="B788" s="6"/>
      <c r="N788" s="6"/>
    </row>
    <row r="789" spans="2:14">
      <c r="B789" s="6"/>
      <c r="N789" s="6"/>
    </row>
    <row r="790" spans="2:14">
      <c r="B790" s="6"/>
      <c r="N790" s="6"/>
    </row>
    <row r="791" spans="2:14">
      <c r="B791" s="6"/>
      <c r="N791" s="6"/>
    </row>
    <row r="792" spans="2:14">
      <c r="B792" s="6"/>
      <c r="N792" s="6"/>
    </row>
    <row r="793" spans="2:14">
      <c r="B793" s="6"/>
      <c r="N793" s="6"/>
    </row>
    <row r="794" spans="2:14">
      <c r="B794" s="6"/>
      <c r="N794" s="6"/>
    </row>
    <row r="795" spans="2:14">
      <c r="B795" s="6"/>
      <c r="N795" s="6"/>
    </row>
    <row r="796" spans="2:14">
      <c r="B796" s="6"/>
      <c r="N796" s="6"/>
    </row>
    <row r="797" spans="2:14">
      <c r="B797" s="6"/>
      <c r="N797" s="6"/>
    </row>
    <row r="798" spans="2:14">
      <c r="B798" s="6"/>
      <c r="N798" s="6"/>
    </row>
    <row r="799" spans="2:14">
      <c r="B799" s="6"/>
      <c r="N799" s="6"/>
    </row>
    <row r="800" spans="2:14">
      <c r="B800" s="6"/>
      <c r="N800" s="6"/>
    </row>
    <row r="801" spans="2:14">
      <c r="B801" s="6"/>
      <c r="N801" s="6"/>
    </row>
    <row r="802" spans="2:14">
      <c r="B802" s="6"/>
      <c r="N802" s="6"/>
    </row>
    <row r="803" spans="2:14">
      <c r="B803" s="6"/>
      <c r="N803" s="6"/>
    </row>
    <row r="804" spans="2:14">
      <c r="B804" s="6"/>
      <c r="N804" s="6"/>
    </row>
    <row r="805" spans="2:14">
      <c r="B805" s="6"/>
      <c r="N805" s="6"/>
    </row>
    <row r="806" spans="2:14">
      <c r="B806" s="6"/>
      <c r="N806" s="6"/>
    </row>
    <row r="807" spans="2:14">
      <c r="B807" s="6"/>
      <c r="N807" s="6"/>
    </row>
    <row r="808" spans="2:14">
      <c r="B808" s="6"/>
      <c r="N808" s="6"/>
    </row>
    <row r="809" spans="2:14">
      <c r="B809" s="6"/>
      <c r="N809" s="6"/>
    </row>
    <row r="810" spans="2:14">
      <c r="B810" s="6"/>
      <c r="N810" s="6"/>
    </row>
    <row r="811" spans="2:14">
      <c r="B811" s="6"/>
      <c r="N811" s="6"/>
    </row>
    <row r="812" spans="2:14">
      <c r="B812" s="6"/>
      <c r="N812" s="6"/>
    </row>
    <row r="813" spans="2:14">
      <c r="B813" s="6"/>
      <c r="N813" s="6"/>
    </row>
    <row r="814" spans="2:14">
      <c r="B814" s="6"/>
      <c r="N814" s="6"/>
    </row>
    <row r="815" spans="2:14">
      <c r="B815" s="6"/>
      <c r="N815" s="6"/>
    </row>
    <row r="816" spans="2:14">
      <c r="B816" s="6"/>
      <c r="N816" s="6"/>
    </row>
    <row r="817" spans="2:14">
      <c r="B817" s="6"/>
      <c r="N817" s="6"/>
    </row>
    <row r="818" spans="2:14">
      <c r="B818" s="6"/>
      <c r="N818" s="6"/>
    </row>
    <row r="819" spans="2:14">
      <c r="B819" s="6"/>
      <c r="N819" s="6"/>
    </row>
    <row r="820" spans="2:14">
      <c r="B820" s="6"/>
      <c r="N820" s="6"/>
    </row>
    <row r="821" spans="2:14">
      <c r="B821" s="6"/>
      <c r="N821" s="6"/>
    </row>
    <row r="822" spans="2:14">
      <c r="B822" s="6"/>
      <c r="N822" s="6"/>
    </row>
    <row r="823" spans="2:14">
      <c r="B823" s="6"/>
      <c r="N823" s="6"/>
    </row>
    <row r="824" spans="2:14">
      <c r="B824" s="6"/>
      <c r="N824" s="6"/>
    </row>
    <row r="825" spans="2:14">
      <c r="B825" s="6"/>
      <c r="N825" s="6"/>
    </row>
    <row r="826" spans="2:14">
      <c r="B826" s="6"/>
      <c r="N826" s="6"/>
    </row>
    <row r="827" spans="2:14">
      <c r="B827" s="6"/>
      <c r="N827" s="6"/>
    </row>
    <row r="828" spans="2:14">
      <c r="B828" s="6"/>
      <c r="N828" s="6"/>
    </row>
    <row r="829" spans="2:14">
      <c r="B829" s="6"/>
      <c r="N829" s="6"/>
    </row>
    <row r="830" spans="2:14">
      <c r="B830" s="6"/>
      <c r="N830" s="6"/>
    </row>
    <row r="831" spans="2:14">
      <c r="B831" s="6"/>
      <c r="N831" s="6"/>
    </row>
    <row r="832" spans="2:14">
      <c r="B832" s="6"/>
      <c r="N832" s="6"/>
    </row>
    <row r="833" spans="2:14">
      <c r="B833" s="6"/>
      <c r="N833" s="6"/>
    </row>
    <row r="834" spans="2:14">
      <c r="B834" s="6"/>
      <c r="N834" s="6"/>
    </row>
    <row r="835" spans="2:14">
      <c r="B835" s="6"/>
      <c r="N835" s="6"/>
    </row>
    <row r="836" spans="2:14">
      <c r="B836" s="6"/>
      <c r="N836" s="6"/>
    </row>
    <row r="837" spans="2:14">
      <c r="B837" s="6"/>
      <c r="N837" s="6"/>
    </row>
    <row r="838" spans="2:14">
      <c r="B838" s="6"/>
      <c r="N838" s="6"/>
    </row>
    <row r="839" spans="2:14">
      <c r="B839" s="6"/>
      <c r="N839" s="6"/>
    </row>
    <row r="840" spans="2:14">
      <c r="B840" s="6"/>
      <c r="N840" s="6"/>
    </row>
    <row r="841" spans="2:14">
      <c r="B841" s="6"/>
      <c r="N841" s="6"/>
    </row>
    <row r="842" spans="2:14">
      <c r="B842" s="6"/>
      <c r="N842" s="6"/>
    </row>
    <row r="843" spans="2:14">
      <c r="B843" s="6"/>
      <c r="N843" s="6"/>
    </row>
    <row r="844" spans="2:14">
      <c r="B844" s="6"/>
      <c r="N844" s="6"/>
    </row>
    <row r="845" spans="2:14">
      <c r="B845" s="6"/>
      <c r="N845" s="6"/>
    </row>
    <row r="846" spans="2:14">
      <c r="B846" s="6"/>
      <c r="N846" s="6"/>
    </row>
    <row r="847" spans="2:14">
      <c r="B847" s="6"/>
      <c r="N847" s="6"/>
    </row>
    <row r="848" spans="2:14">
      <c r="B848" s="6"/>
      <c r="N848" s="6"/>
    </row>
    <row r="849" spans="2:14">
      <c r="B849" s="6"/>
      <c r="N849" s="6"/>
    </row>
    <row r="850" spans="2:14">
      <c r="B850" s="6"/>
      <c r="N850" s="6"/>
    </row>
    <row r="851" spans="2:14">
      <c r="B851" s="6"/>
      <c r="N851" s="6"/>
    </row>
    <row r="852" spans="2:14">
      <c r="B852" s="6"/>
      <c r="N852" s="6"/>
    </row>
    <row r="853" spans="2:14">
      <c r="B853" s="6"/>
      <c r="N853" s="6"/>
    </row>
    <row r="854" spans="2:14">
      <c r="B854" s="6"/>
      <c r="N854" s="6"/>
    </row>
    <row r="855" spans="2:14">
      <c r="B855" s="6"/>
      <c r="N855" s="6"/>
    </row>
    <row r="856" spans="2:14">
      <c r="B856" s="6"/>
      <c r="N856" s="6"/>
    </row>
    <row r="857" spans="2:14">
      <c r="B857" s="6"/>
      <c r="N857" s="6"/>
    </row>
    <row r="858" spans="2:14">
      <c r="B858" s="6"/>
      <c r="N858" s="6"/>
    </row>
    <row r="859" spans="2:14">
      <c r="B859" s="6"/>
      <c r="N859" s="6"/>
    </row>
    <row r="860" spans="2:14">
      <c r="B860" s="6"/>
      <c r="N860" s="6"/>
    </row>
    <row r="861" spans="2:14">
      <c r="B861" s="6"/>
      <c r="N861" s="6"/>
    </row>
    <row r="862" spans="2:14">
      <c r="B862" s="6"/>
      <c r="N862" s="6"/>
    </row>
    <row r="863" spans="2:14">
      <c r="B863" s="6"/>
      <c r="N863" s="6"/>
    </row>
    <row r="864" spans="2:14">
      <c r="B864" s="6"/>
      <c r="N864" s="6"/>
    </row>
    <row r="865" spans="2:14">
      <c r="B865" s="6"/>
      <c r="N865" s="6"/>
    </row>
    <row r="866" spans="2:14">
      <c r="B866" s="6"/>
      <c r="N866" s="6"/>
    </row>
    <row r="867" spans="2:14">
      <c r="B867" s="6"/>
      <c r="N867" s="6"/>
    </row>
    <row r="868" spans="2:14">
      <c r="B868" s="6"/>
      <c r="N868" s="6"/>
    </row>
    <row r="869" spans="2:14">
      <c r="B869" s="6"/>
      <c r="N869" s="6"/>
    </row>
    <row r="870" spans="2:14">
      <c r="B870" s="6"/>
      <c r="N870" s="6"/>
    </row>
    <row r="871" spans="2:14">
      <c r="B871" s="6"/>
      <c r="N871" s="6"/>
    </row>
    <row r="872" spans="2:14">
      <c r="B872" s="6"/>
      <c r="N872" s="6"/>
    </row>
    <row r="873" spans="2:14">
      <c r="B873" s="6"/>
      <c r="N873" s="6"/>
    </row>
    <row r="874" spans="2:14">
      <c r="B874" s="6"/>
      <c r="N874" s="6"/>
    </row>
    <row r="875" spans="2:14">
      <c r="B875" s="6"/>
      <c r="N875" s="6"/>
    </row>
    <row r="876" spans="2:14">
      <c r="B876" s="6"/>
      <c r="N876" s="6"/>
    </row>
    <row r="877" spans="2:14">
      <c r="B877" s="6"/>
      <c r="N877" s="6"/>
    </row>
    <row r="878" spans="2:14">
      <c r="B878" s="6"/>
      <c r="N878" s="6"/>
    </row>
    <row r="879" spans="2:14">
      <c r="B879" s="6"/>
      <c r="N879" s="6"/>
    </row>
    <row r="880" spans="2:14">
      <c r="B880" s="6"/>
      <c r="N880" s="6"/>
    </row>
    <row r="881" spans="2:14">
      <c r="B881" s="6"/>
      <c r="N881" s="6"/>
    </row>
    <row r="882" spans="2:14">
      <c r="B882" s="6"/>
      <c r="N882" s="6"/>
    </row>
    <row r="883" spans="2:14">
      <c r="B883" s="6"/>
      <c r="N883" s="6"/>
    </row>
    <row r="884" spans="2:14">
      <c r="B884" s="6"/>
      <c r="N884" s="6"/>
    </row>
    <row r="885" spans="2:14">
      <c r="B885" s="6"/>
      <c r="N885" s="6"/>
    </row>
    <row r="886" spans="2:14">
      <c r="B886" s="6"/>
      <c r="N886" s="6"/>
    </row>
    <row r="887" spans="2:14">
      <c r="B887" s="6"/>
      <c r="N887" s="6"/>
    </row>
    <row r="888" spans="2:14">
      <c r="B888" s="6"/>
      <c r="N888" s="6"/>
    </row>
    <row r="889" spans="2:14">
      <c r="B889" s="6"/>
      <c r="N889" s="6"/>
    </row>
    <row r="890" spans="2:14">
      <c r="B890" s="6"/>
      <c r="N890" s="6"/>
    </row>
    <row r="891" spans="2:14">
      <c r="B891" s="6"/>
      <c r="N891" s="6"/>
    </row>
    <row r="892" spans="2:14">
      <c r="B892" s="6"/>
      <c r="N892" s="6"/>
    </row>
    <row r="893" spans="2:14">
      <c r="B893" s="6"/>
      <c r="N893" s="6"/>
    </row>
    <row r="894" spans="2:14">
      <c r="B894" s="6"/>
      <c r="N894" s="6"/>
    </row>
    <row r="895" spans="2:14">
      <c r="B895" s="6"/>
      <c r="N895" s="6"/>
    </row>
    <row r="896" spans="2:14">
      <c r="B896" s="6"/>
      <c r="N896" s="6"/>
    </row>
    <row r="897" spans="2:14">
      <c r="B897" s="6"/>
      <c r="N897" s="6"/>
    </row>
    <row r="898" spans="2:14">
      <c r="B898" s="6"/>
      <c r="N898" s="6"/>
    </row>
    <row r="899" spans="2:14">
      <c r="B899" s="6"/>
      <c r="N899" s="6"/>
    </row>
    <row r="900" spans="2:14">
      <c r="B900" s="6"/>
      <c r="N900" s="6"/>
    </row>
    <row r="901" spans="2:14">
      <c r="B901" s="6"/>
      <c r="N901" s="6"/>
    </row>
    <row r="902" spans="2:14">
      <c r="B902" s="6"/>
      <c r="N902" s="6"/>
    </row>
    <row r="903" spans="2:14">
      <c r="B903" s="6"/>
      <c r="N903" s="6"/>
    </row>
    <row r="904" spans="2:14">
      <c r="B904" s="6"/>
      <c r="N904" s="6"/>
    </row>
    <row r="905" spans="2:14">
      <c r="B905" s="6"/>
      <c r="N905" s="6"/>
    </row>
    <row r="906" spans="2:14">
      <c r="B906" s="6"/>
      <c r="N906" s="6"/>
    </row>
    <row r="907" spans="2:14">
      <c r="B907" s="6"/>
      <c r="N907" s="6"/>
    </row>
    <row r="908" spans="2:14">
      <c r="B908" s="6"/>
      <c r="N908" s="6"/>
    </row>
    <row r="909" spans="2:14">
      <c r="B909" s="6"/>
      <c r="N909" s="6"/>
    </row>
    <row r="910" spans="2:14">
      <c r="B910" s="6"/>
      <c r="N910" s="6"/>
    </row>
    <row r="911" spans="2:14">
      <c r="B911" s="6"/>
      <c r="N911" s="6"/>
    </row>
    <row r="912" spans="2:14">
      <c r="B912" s="6"/>
      <c r="N912" s="6"/>
    </row>
    <row r="913" spans="2:14">
      <c r="B913" s="6"/>
      <c r="N913" s="6"/>
    </row>
    <row r="914" spans="2:14">
      <c r="B914" s="6"/>
      <c r="N914" s="6"/>
    </row>
    <row r="915" spans="2:14">
      <c r="B915" s="6"/>
      <c r="N915" s="6"/>
    </row>
    <row r="916" spans="2:14">
      <c r="B916" s="6"/>
      <c r="N916" s="6"/>
    </row>
    <row r="917" spans="2:14">
      <c r="B917" s="6"/>
      <c r="N917" s="6"/>
    </row>
    <row r="918" spans="2:14">
      <c r="B918" s="6"/>
      <c r="N918" s="6"/>
    </row>
    <row r="919" spans="2:14">
      <c r="B919" s="6"/>
      <c r="N919" s="6"/>
    </row>
    <row r="920" spans="2:14">
      <c r="B920" s="6"/>
      <c r="N920" s="6"/>
    </row>
    <row r="921" spans="2:14">
      <c r="B921" s="6"/>
      <c r="N921" s="6"/>
    </row>
    <row r="922" spans="2:14">
      <c r="B922" s="6"/>
      <c r="N922" s="6"/>
    </row>
    <row r="923" spans="2:14">
      <c r="B923" s="6"/>
      <c r="N923" s="6"/>
    </row>
    <row r="924" spans="2:14">
      <c r="B924" s="6"/>
      <c r="N924" s="6"/>
    </row>
    <row r="925" spans="2:14">
      <c r="B925" s="6"/>
      <c r="N925" s="6"/>
    </row>
    <row r="926" spans="2:14">
      <c r="B926" s="6"/>
      <c r="N926" s="6"/>
    </row>
    <row r="927" spans="2:14">
      <c r="B927" s="6"/>
      <c r="N927" s="6"/>
    </row>
    <row r="928" spans="2:14">
      <c r="B928" s="6"/>
      <c r="N928" s="6"/>
    </row>
    <row r="929" spans="2:14">
      <c r="B929" s="6"/>
      <c r="N929" s="6"/>
    </row>
    <row r="930" spans="2:14">
      <c r="B930" s="6"/>
      <c r="N930" s="6"/>
    </row>
    <row r="931" spans="2:14">
      <c r="B931" s="6"/>
      <c r="N931" s="6"/>
    </row>
    <row r="932" spans="2:14">
      <c r="B932" s="6"/>
      <c r="N932" s="6"/>
    </row>
    <row r="933" spans="2:14">
      <c r="B933" s="6"/>
      <c r="N933" s="6"/>
    </row>
    <row r="934" spans="2:14">
      <c r="B934" s="6"/>
      <c r="N934" s="6"/>
    </row>
    <row r="935" spans="2:14">
      <c r="B935" s="6"/>
      <c r="N935" s="6"/>
    </row>
    <row r="936" spans="2:14">
      <c r="B936" s="6"/>
      <c r="N936" s="6"/>
    </row>
    <row r="937" spans="2:14">
      <c r="B937" s="6"/>
      <c r="N937" s="6"/>
    </row>
    <row r="938" spans="2:14">
      <c r="B938" s="6"/>
      <c r="N938" s="6"/>
    </row>
    <row r="939" spans="2:14">
      <c r="B939" s="6"/>
      <c r="N939" s="6"/>
    </row>
    <row r="940" spans="2:14">
      <c r="B940" s="6"/>
      <c r="N940" s="6"/>
    </row>
    <row r="941" spans="2:14">
      <c r="B941" s="6"/>
      <c r="N941" s="6"/>
    </row>
    <row r="942" spans="2:14">
      <c r="B942" s="6"/>
      <c r="N942" s="6"/>
    </row>
    <row r="943" spans="2:14">
      <c r="B943" s="6"/>
      <c r="N943" s="6"/>
    </row>
    <row r="944" spans="2:14">
      <c r="B944" s="6"/>
      <c r="N944" s="6"/>
    </row>
    <row r="945" spans="2:14">
      <c r="B945" s="6"/>
      <c r="N945" s="6"/>
    </row>
    <row r="946" spans="2:14">
      <c r="B946" s="6"/>
      <c r="N946" s="6"/>
    </row>
    <row r="947" spans="2:14">
      <c r="B947" s="6"/>
      <c r="N947" s="6"/>
    </row>
    <row r="948" spans="2:14">
      <c r="B948" s="6"/>
      <c r="N948" s="6"/>
    </row>
    <row r="949" spans="2:14">
      <c r="B949" s="6"/>
      <c r="N949" s="6"/>
    </row>
    <row r="950" spans="2:14">
      <c r="B950" s="6"/>
      <c r="N950" s="6"/>
    </row>
    <row r="951" spans="2:14">
      <c r="B951" s="6"/>
      <c r="N951" s="6"/>
    </row>
    <row r="952" spans="2:14">
      <c r="B952" s="6"/>
      <c r="N952" s="6"/>
    </row>
    <row r="953" spans="2:14">
      <c r="B953" s="6"/>
      <c r="N953" s="6"/>
    </row>
    <row r="954" spans="2:14">
      <c r="B954" s="6"/>
      <c r="N954" s="6"/>
    </row>
    <row r="955" spans="2:14">
      <c r="B955" s="6"/>
      <c r="N955" s="6"/>
    </row>
    <row r="956" spans="2:14">
      <c r="B956" s="6"/>
      <c r="N956" s="6"/>
    </row>
    <row r="957" spans="2:14">
      <c r="B957" s="6"/>
      <c r="N957" s="6"/>
    </row>
    <row r="958" spans="2:14">
      <c r="B958" s="6"/>
      <c r="N958" s="6"/>
    </row>
    <row r="959" spans="2:14">
      <c r="B959" s="6"/>
      <c r="N959" s="6"/>
    </row>
    <row r="960" spans="2:14">
      <c r="B960" s="6"/>
      <c r="N960" s="6"/>
    </row>
    <row r="961" spans="2:14">
      <c r="B961" s="6"/>
      <c r="N961" s="6"/>
    </row>
    <row r="962" spans="2:14">
      <c r="B962" s="6"/>
      <c r="N962" s="6"/>
    </row>
    <row r="963" spans="2:14">
      <c r="B963" s="6"/>
      <c r="N963" s="6"/>
    </row>
    <row r="964" spans="2:14">
      <c r="B964" s="6"/>
      <c r="N964" s="6"/>
    </row>
    <row r="965" spans="2:14">
      <c r="B965" s="6"/>
      <c r="N965" s="6"/>
    </row>
    <row r="966" spans="2:14">
      <c r="B966" s="6"/>
      <c r="N966" s="6"/>
    </row>
    <row r="967" spans="2:14">
      <c r="B967" s="6"/>
      <c r="N967" s="6"/>
    </row>
    <row r="968" spans="2:14">
      <c r="B968" s="6"/>
      <c r="N968" s="6"/>
    </row>
    <row r="969" spans="2:14">
      <c r="B969" s="6"/>
      <c r="N969" s="6"/>
    </row>
    <row r="970" spans="2:14">
      <c r="B970" s="6"/>
      <c r="N970" s="6"/>
    </row>
    <row r="971" spans="2:14">
      <c r="B971" s="6"/>
      <c r="N971" s="6"/>
    </row>
    <row r="972" spans="2:14">
      <c r="B972" s="6"/>
      <c r="N972" s="6"/>
    </row>
    <row r="973" spans="2:14">
      <c r="B973" s="6"/>
      <c r="N973" s="6"/>
    </row>
    <row r="974" spans="2:14">
      <c r="B974" s="6"/>
      <c r="N974" s="6"/>
    </row>
    <row r="975" spans="2:14">
      <c r="B975" s="6"/>
      <c r="N975" s="6"/>
    </row>
    <row r="976" spans="2:14">
      <c r="B976" s="6"/>
      <c r="N976" s="6"/>
    </row>
    <row r="977" spans="2:14">
      <c r="B977" s="6"/>
      <c r="N977" s="6"/>
    </row>
    <row r="978" spans="2:14">
      <c r="B978" s="6"/>
      <c r="N978" s="6"/>
    </row>
    <row r="979" spans="2:14">
      <c r="B979" s="6"/>
      <c r="N979" s="6"/>
    </row>
    <row r="980" spans="2:14">
      <c r="B980" s="6"/>
      <c r="N980" s="6"/>
    </row>
    <row r="981" spans="2:14">
      <c r="B981" s="6"/>
      <c r="N981" s="6"/>
    </row>
    <row r="982" spans="2:14">
      <c r="B982" s="6"/>
      <c r="N982" s="6"/>
    </row>
    <row r="983" spans="2:14">
      <c r="B983" s="6"/>
      <c r="N983" s="6"/>
    </row>
    <row r="984" spans="2:14">
      <c r="B984" s="6"/>
      <c r="N984" s="6"/>
    </row>
    <row r="985" spans="2:14">
      <c r="B985" s="6"/>
      <c r="N985" s="6"/>
    </row>
    <row r="986" spans="2:14">
      <c r="B986" s="6"/>
      <c r="N986" s="6"/>
    </row>
    <row r="987" spans="2:14">
      <c r="B987" s="6"/>
      <c r="N987" s="6"/>
    </row>
    <row r="988" spans="2:14">
      <c r="B988" s="6"/>
      <c r="N988" s="6"/>
    </row>
    <row r="989" spans="2:14">
      <c r="B989" s="6"/>
      <c r="N989" s="6"/>
    </row>
    <row r="990" spans="2:14">
      <c r="B990" s="6"/>
      <c r="N990" s="6"/>
    </row>
    <row r="991" spans="2:14">
      <c r="B991" s="6"/>
      <c r="N991" s="6"/>
    </row>
    <row r="992" spans="2:14">
      <c r="B992" s="6"/>
      <c r="N992" s="6"/>
    </row>
    <row r="993" spans="2:14">
      <c r="B993" s="6"/>
      <c r="N993" s="6"/>
    </row>
    <row r="994" spans="2:14">
      <c r="B994" s="6"/>
      <c r="N994" s="6"/>
    </row>
    <row r="995" spans="2:14">
      <c r="B995" s="6"/>
      <c r="N995" s="6"/>
    </row>
    <row r="996" spans="2:14">
      <c r="B996" s="6"/>
      <c r="N996" s="6"/>
    </row>
    <row r="997" spans="2:14">
      <c r="B997" s="6"/>
      <c r="N997" s="6"/>
    </row>
    <row r="998" spans="2:14">
      <c r="B998" s="6"/>
      <c r="N998" s="6"/>
    </row>
    <row r="999" spans="2:14">
      <c r="B999" s="6"/>
      <c r="N999" s="6"/>
    </row>
    <row r="1000" spans="2:14">
      <c r="B1000" s="6"/>
      <c r="N1000" s="6"/>
    </row>
    <row r="1001" spans="2:14">
      <c r="B1001" s="6"/>
      <c r="N1001" s="6"/>
    </row>
    <row r="1002" spans="2:14">
      <c r="B1002" s="6"/>
      <c r="N1002" s="6"/>
    </row>
    <row r="1003" spans="2:14">
      <c r="B1003" s="6"/>
      <c r="N1003" s="6"/>
    </row>
    <row r="1004" spans="2:14">
      <c r="B1004" s="6"/>
      <c r="N1004" s="6"/>
    </row>
    <row r="1005" spans="2:14">
      <c r="B1005" s="6"/>
      <c r="N1005" s="6"/>
    </row>
    <row r="1006" spans="2:14">
      <c r="B1006" s="6"/>
      <c r="N1006" s="6"/>
    </row>
    <row r="1007" spans="2:14">
      <c r="B1007" s="6"/>
      <c r="N1007" s="6"/>
    </row>
    <row r="1008" spans="2:14">
      <c r="B1008" s="6"/>
      <c r="N1008" s="6"/>
    </row>
    <row r="1009" spans="2:14">
      <c r="B1009" s="6"/>
      <c r="N1009" s="6"/>
    </row>
    <row r="1010" spans="2:14">
      <c r="B1010" s="6"/>
      <c r="N1010" s="6"/>
    </row>
    <row r="1011" spans="2:14">
      <c r="B1011" s="6"/>
      <c r="N1011" s="6"/>
    </row>
    <row r="1012" spans="2:14">
      <c r="B1012" s="6"/>
      <c r="N1012" s="6"/>
    </row>
    <row r="1013" spans="2:14">
      <c r="B1013" s="6"/>
      <c r="N1013" s="6"/>
    </row>
    <row r="1014" spans="2:14">
      <c r="B1014" s="6"/>
      <c r="N1014" s="6"/>
    </row>
    <row r="1015" spans="2:14">
      <c r="B1015" s="6"/>
      <c r="N1015" s="6"/>
    </row>
    <row r="1016" spans="2:14">
      <c r="B1016" s="6"/>
      <c r="N1016" s="6"/>
    </row>
    <row r="1017" spans="2:14">
      <c r="B1017" s="6"/>
      <c r="N1017" s="6"/>
    </row>
    <row r="1018" spans="2:14">
      <c r="B1018" s="6"/>
      <c r="N1018" s="6"/>
    </row>
    <row r="1019" spans="2:14">
      <c r="B1019" s="6"/>
      <c r="N1019" s="6"/>
    </row>
    <row r="1020" spans="2:14">
      <c r="B1020" s="6"/>
      <c r="N1020" s="6"/>
    </row>
    <row r="1021" spans="2:14">
      <c r="B1021" s="6"/>
      <c r="N1021" s="6"/>
    </row>
    <row r="1022" spans="2:14">
      <c r="B1022" s="6"/>
      <c r="N1022" s="6"/>
    </row>
    <row r="1023" spans="2:14">
      <c r="B1023" s="6"/>
      <c r="N1023" s="6"/>
    </row>
    <row r="1024" spans="2:14">
      <c r="B1024" s="6"/>
      <c r="N1024" s="6"/>
    </row>
    <row r="1025" spans="2:14">
      <c r="B1025" s="6"/>
      <c r="N1025" s="6"/>
    </row>
    <row r="1026" spans="2:14">
      <c r="B1026" s="6"/>
      <c r="N1026" s="6"/>
    </row>
    <row r="1027" spans="2:14">
      <c r="B1027" s="6"/>
      <c r="N1027" s="6"/>
    </row>
    <row r="1028" spans="2:14">
      <c r="B1028" s="6"/>
      <c r="N1028" s="6"/>
    </row>
    <row r="1029" spans="2:14">
      <c r="B1029" s="6"/>
      <c r="N1029" s="6"/>
    </row>
    <row r="1030" spans="2:14">
      <c r="B1030" s="6"/>
      <c r="N1030" s="6"/>
    </row>
    <row r="1031" spans="2:14">
      <c r="B1031" s="6"/>
      <c r="N1031" s="6"/>
    </row>
    <row r="1032" spans="2:14">
      <c r="B1032" s="6"/>
      <c r="N1032" s="6"/>
    </row>
    <row r="1033" spans="2:14">
      <c r="B1033" s="6"/>
      <c r="N1033" s="6"/>
    </row>
    <row r="1034" spans="2:14">
      <c r="B1034" s="6"/>
      <c r="N1034" s="6"/>
    </row>
    <row r="1035" spans="2:14">
      <c r="B1035" s="6"/>
      <c r="N1035" s="6"/>
    </row>
    <row r="1036" spans="2:14">
      <c r="B1036" s="6"/>
      <c r="N1036" s="6"/>
    </row>
    <row r="1037" spans="2:14">
      <c r="B1037" s="6"/>
      <c r="N1037" s="6"/>
    </row>
    <row r="1038" spans="2:14">
      <c r="B1038" s="6"/>
      <c r="N1038" s="6"/>
    </row>
    <row r="1039" spans="2:14">
      <c r="B1039" s="6"/>
      <c r="N1039" s="6"/>
    </row>
    <row r="1040" spans="2:14">
      <c r="B1040" s="6"/>
      <c r="N1040" s="6"/>
    </row>
    <row r="1041" spans="2:14">
      <c r="B1041" s="6"/>
      <c r="N1041" s="6"/>
    </row>
    <row r="1042" spans="2:14">
      <c r="B1042" s="6"/>
      <c r="N1042" s="6"/>
    </row>
    <row r="1043" spans="2:14">
      <c r="B1043" s="6"/>
      <c r="N1043" s="6"/>
    </row>
    <row r="1044" spans="2:14">
      <c r="B1044" s="6"/>
      <c r="N1044" s="6"/>
    </row>
    <row r="1045" spans="2:14">
      <c r="B1045" s="6"/>
      <c r="N1045" s="6"/>
    </row>
    <row r="1046" spans="2:14">
      <c r="B1046" s="6"/>
      <c r="N1046" s="6"/>
    </row>
    <row r="1047" spans="2:14">
      <c r="B1047" s="6"/>
      <c r="N1047" s="6"/>
    </row>
    <row r="1048" spans="2:14">
      <c r="B1048" s="6"/>
      <c r="N1048" s="6"/>
    </row>
    <row r="1049" spans="2:14">
      <c r="B1049" s="6"/>
      <c r="N1049" s="6"/>
    </row>
    <row r="1050" spans="2:14">
      <c r="B1050" s="6"/>
      <c r="N1050" s="6"/>
    </row>
    <row r="1051" spans="2:14">
      <c r="B1051" s="6"/>
      <c r="N1051" s="6"/>
    </row>
    <row r="1052" spans="2:14">
      <c r="B1052" s="6"/>
      <c r="N1052" s="6"/>
    </row>
    <row r="1053" spans="2:14">
      <c r="B1053" s="6"/>
      <c r="N1053" s="6"/>
    </row>
    <row r="1054" spans="2:14">
      <c r="B1054" s="6"/>
      <c r="N1054" s="6"/>
    </row>
    <row r="1055" spans="2:14">
      <c r="B1055" s="6"/>
      <c r="N1055" s="6"/>
    </row>
    <row r="1056" spans="2:14">
      <c r="B1056" s="6"/>
      <c r="N1056" s="6"/>
    </row>
    <row r="1057" spans="2:14">
      <c r="B1057" s="6"/>
      <c r="N1057" s="6"/>
    </row>
    <row r="1058" spans="2:14">
      <c r="B1058" s="6"/>
      <c r="N1058" s="6"/>
    </row>
    <row r="1059" spans="2:14">
      <c r="B1059" s="6"/>
      <c r="N1059" s="6"/>
    </row>
    <row r="1060" spans="2:14">
      <c r="B1060" s="6"/>
      <c r="N1060" s="6"/>
    </row>
    <row r="1061" spans="2:14">
      <c r="B1061" s="6"/>
      <c r="N1061" s="6"/>
    </row>
    <row r="1062" spans="2:14">
      <c r="B1062" s="6"/>
      <c r="N1062" s="6"/>
    </row>
    <row r="1063" spans="2:14">
      <c r="B1063" s="6"/>
      <c r="N1063" s="6"/>
    </row>
    <row r="1064" spans="2:14">
      <c r="B1064" s="6"/>
      <c r="N1064" s="6"/>
    </row>
    <row r="1065" spans="2:14">
      <c r="B1065" s="6"/>
      <c r="N1065" s="6"/>
    </row>
    <row r="1066" spans="2:14">
      <c r="B1066" s="6"/>
      <c r="N1066" s="6"/>
    </row>
    <row r="1067" spans="2:14">
      <c r="B1067" s="6"/>
      <c r="N1067" s="6"/>
    </row>
    <row r="1068" spans="2:14">
      <c r="B1068" s="6"/>
      <c r="N1068" s="6"/>
    </row>
    <row r="1069" spans="2:14">
      <c r="B1069" s="6"/>
      <c r="N1069" s="6"/>
    </row>
    <row r="1070" spans="2:14">
      <c r="B1070" s="6"/>
      <c r="N1070" s="6"/>
    </row>
    <row r="1071" spans="2:14">
      <c r="B1071" s="6"/>
      <c r="N1071" s="6"/>
    </row>
    <row r="1072" spans="2:14">
      <c r="B1072" s="6"/>
      <c r="N1072" s="6"/>
    </row>
    <row r="1073" spans="2:14">
      <c r="B1073" s="6"/>
      <c r="N1073" s="6"/>
    </row>
    <row r="1074" spans="2:14">
      <c r="B1074" s="6"/>
      <c r="N1074" s="6"/>
    </row>
    <row r="1075" spans="2:14">
      <c r="B1075" s="6"/>
      <c r="N1075" s="6"/>
    </row>
    <row r="1076" spans="2:14">
      <c r="B1076" s="6"/>
      <c r="N1076" s="6"/>
    </row>
    <row r="1077" spans="2:14">
      <c r="B1077" s="6"/>
      <c r="N1077" s="6"/>
    </row>
    <row r="1078" spans="2:14">
      <c r="B1078" s="6"/>
      <c r="N1078" s="6"/>
    </row>
    <row r="1079" spans="2:14">
      <c r="B1079" s="6"/>
      <c r="N1079" s="6"/>
    </row>
    <row r="1080" spans="2:14">
      <c r="B1080" s="6"/>
      <c r="N1080" s="6"/>
    </row>
    <row r="1081" spans="2:14">
      <c r="B1081" s="6"/>
      <c r="N1081" s="6"/>
    </row>
    <row r="1082" spans="2:14">
      <c r="B1082" s="6"/>
      <c r="N1082" s="6"/>
    </row>
    <row r="1083" spans="2:14">
      <c r="B1083" s="6"/>
      <c r="N1083" s="6"/>
    </row>
    <row r="1084" spans="2:14">
      <c r="B1084" s="6"/>
      <c r="N1084" s="6"/>
    </row>
    <row r="1085" spans="2:14">
      <c r="B1085" s="6"/>
      <c r="N1085" s="6"/>
    </row>
    <row r="1086" spans="2:14">
      <c r="B1086" s="6"/>
      <c r="N1086" s="6"/>
    </row>
    <row r="1087" spans="2:14">
      <c r="B1087" s="6"/>
      <c r="N1087" s="6"/>
    </row>
    <row r="1088" spans="2:14">
      <c r="B1088" s="6"/>
      <c r="N1088" s="6"/>
    </row>
    <row r="1089" spans="2:14">
      <c r="B1089" s="6"/>
      <c r="N1089" s="6"/>
    </row>
    <row r="1090" spans="2:14">
      <c r="B1090" s="6"/>
      <c r="N1090" s="6"/>
    </row>
    <row r="1091" spans="2:14">
      <c r="B1091" s="6"/>
      <c r="N1091" s="6"/>
    </row>
    <row r="1092" spans="2:14">
      <c r="B1092" s="6"/>
      <c r="N1092" s="6"/>
    </row>
    <row r="1093" spans="2:14">
      <c r="B1093" s="6"/>
      <c r="N1093" s="6"/>
    </row>
    <row r="1094" spans="2:14">
      <c r="B1094" s="6"/>
      <c r="N1094" s="6"/>
    </row>
    <row r="1095" spans="2:14">
      <c r="B1095" s="6"/>
      <c r="N1095" s="6"/>
    </row>
    <row r="1096" spans="2:14">
      <c r="B1096" s="6"/>
      <c r="N1096" s="6"/>
    </row>
    <row r="1097" spans="2:14">
      <c r="B1097" s="6"/>
      <c r="N1097" s="6"/>
    </row>
    <row r="1098" spans="2:14">
      <c r="B1098" s="6"/>
      <c r="N1098" s="6"/>
    </row>
    <row r="1099" spans="2:14">
      <c r="B1099" s="6"/>
      <c r="N1099" s="6"/>
    </row>
    <row r="1100" spans="2:14">
      <c r="B1100" s="6"/>
      <c r="N1100" s="6"/>
    </row>
    <row r="1101" spans="2:14">
      <c r="B1101" s="6"/>
      <c r="N1101" s="6"/>
    </row>
    <row r="1102" spans="2:14">
      <c r="B1102" s="6"/>
      <c r="N1102" s="6"/>
    </row>
    <row r="1103" spans="2:14">
      <c r="B1103" s="6"/>
      <c r="N1103" s="6"/>
    </row>
    <row r="1104" spans="2:14">
      <c r="B1104" s="6"/>
      <c r="N1104" s="6"/>
    </row>
    <row r="1105" spans="2:14">
      <c r="B1105" s="6"/>
      <c r="N1105" s="6"/>
    </row>
    <row r="1106" spans="2:14">
      <c r="B1106" s="6"/>
      <c r="N1106" s="6"/>
    </row>
    <row r="1107" spans="2:14">
      <c r="B1107" s="6"/>
      <c r="N1107" s="6"/>
    </row>
    <row r="1108" spans="2:14">
      <c r="B1108" s="6"/>
      <c r="N1108" s="6"/>
    </row>
    <row r="1109" spans="2:14">
      <c r="B1109" s="6"/>
      <c r="N1109" s="6"/>
    </row>
    <row r="1110" spans="2:14">
      <c r="B1110" s="6"/>
      <c r="N1110" s="6"/>
    </row>
    <row r="1111" spans="2:14">
      <c r="B1111" s="6"/>
      <c r="N1111" s="6"/>
    </row>
    <row r="1112" spans="2:14">
      <c r="B1112" s="6"/>
      <c r="N1112" s="6"/>
    </row>
    <row r="1113" spans="2:14">
      <c r="B1113" s="6"/>
      <c r="N1113" s="6"/>
    </row>
    <row r="1114" spans="2:14">
      <c r="B1114" s="6"/>
      <c r="N1114" s="6"/>
    </row>
    <row r="1115" spans="2:14">
      <c r="B1115" s="6"/>
      <c r="N1115" s="6"/>
    </row>
    <row r="1116" spans="2:14">
      <c r="B1116" s="6"/>
      <c r="N1116" s="6"/>
    </row>
    <row r="1117" spans="2:14">
      <c r="B1117" s="6"/>
      <c r="N1117" s="6"/>
    </row>
    <row r="1118" spans="2:14">
      <c r="B1118" s="6"/>
      <c r="N1118" s="6"/>
    </row>
    <row r="1119" spans="2:14">
      <c r="B1119" s="6"/>
      <c r="N1119" s="6"/>
    </row>
    <row r="1120" spans="2:14">
      <c r="B1120" s="6"/>
      <c r="N1120" s="6"/>
    </row>
    <row r="1121" spans="2:14">
      <c r="B1121" s="6"/>
      <c r="N1121" s="6"/>
    </row>
    <row r="1122" spans="2:14">
      <c r="B1122" s="6"/>
      <c r="N1122" s="6"/>
    </row>
    <row r="1123" spans="2:14">
      <c r="B1123" s="6"/>
      <c r="N1123" s="6"/>
    </row>
    <row r="1124" spans="2:14">
      <c r="B1124" s="6"/>
      <c r="N1124" s="6"/>
    </row>
    <row r="1125" spans="2:14">
      <c r="B1125" s="6"/>
      <c r="N1125" s="6"/>
    </row>
    <row r="1126" spans="2:14">
      <c r="B1126" s="6"/>
      <c r="N1126" s="6"/>
    </row>
    <row r="1127" spans="2:14">
      <c r="B1127" s="6"/>
      <c r="N1127" s="6"/>
    </row>
    <row r="1128" spans="2:14">
      <c r="B1128" s="6"/>
      <c r="N1128" s="6"/>
    </row>
    <row r="1129" spans="2:14">
      <c r="B1129" s="6"/>
      <c r="N1129" s="6"/>
    </row>
    <row r="1130" spans="2:14">
      <c r="B1130" s="6"/>
      <c r="N1130" s="6"/>
    </row>
    <row r="1131" spans="2:14">
      <c r="B1131" s="6"/>
      <c r="N1131" s="6"/>
    </row>
    <row r="1132" spans="2:14">
      <c r="B1132" s="6"/>
      <c r="N1132" s="6"/>
    </row>
    <row r="1133" spans="2:14">
      <c r="B1133" s="6"/>
      <c r="N1133" s="6"/>
    </row>
    <row r="1134" spans="2:14">
      <c r="B1134" s="6"/>
      <c r="N1134" s="6"/>
    </row>
    <row r="1135" spans="2:14">
      <c r="B1135" s="6"/>
      <c r="N1135" s="6"/>
    </row>
    <row r="1136" spans="2:14">
      <c r="B1136" s="6"/>
      <c r="N1136" s="6"/>
    </row>
    <row r="1137" spans="2:14">
      <c r="B1137" s="6"/>
      <c r="N1137" s="6"/>
    </row>
    <row r="1138" spans="2:14">
      <c r="B1138" s="6"/>
      <c r="N1138" s="6"/>
    </row>
    <row r="1139" spans="2:14">
      <c r="B1139" s="6"/>
      <c r="N1139" s="6"/>
    </row>
    <row r="1140" spans="2:14">
      <c r="B1140" s="6"/>
      <c r="N1140" s="6"/>
    </row>
    <row r="1141" spans="2:14">
      <c r="B1141" s="6"/>
      <c r="N1141" s="6"/>
    </row>
    <row r="1142" spans="2:14">
      <c r="B1142" s="6"/>
      <c r="N1142" s="6"/>
    </row>
    <row r="1143" spans="2:14">
      <c r="B1143" s="6"/>
      <c r="N1143" s="6"/>
    </row>
    <row r="1144" spans="2:14">
      <c r="B1144" s="6"/>
      <c r="N1144" s="6"/>
    </row>
    <row r="1145" spans="2:14">
      <c r="B1145" s="6"/>
      <c r="N1145" s="6"/>
    </row>
    <row r="1146" spans="2:14">
      <c r="B1146" s="6"/>
      <c r="N1146" s="6"/>
    </row>
    <row r="1147" spans="2:14">
      <c r="B1147" s="6"/>
      <c r="N1147" s="6"/>
    </row>
    <row r="1148" spans="2:14">
      <c r="B1148" s="6"/>
      <c r="N1148" s="6"/>
    </row>
    <row r="1149" spans="2:14">
      <c r="B1149" s="6"/>
      <c r="N1149" s="6"/>
    </row>
    <row r="1150" spans="2:14">
      <c r="B1150" s="6"/>
      <c r="N1150" s="6"/>
    </row>
    <row r="1151" spans="2:14">
      <c r="B1151" s="6"/>
      <c r="N1151" s="6"/>
    </row>
    <row r="1152" spans="2:14">
      <c r="B1152" s="6"/>
      <c r="N1152" s="6"/>
    </row>
    <row r="1153" spans="2:14">
      <c r="B1153" s="6"/>
      <c r="N1153" s="6"/>
    </row>
    <row r="1154" spans="2:14">
      <c r="B1154" s="6"/>
      <c r="N1154" s="6"/>
    </row>
    <row r="1155" spans="2:14">
      <c r="B1155" s="6"/>
      <c r="N1155" s="6"/>
    </row>
    <row r="1156" spans="2:14">
      <c r="B1156" s="6"/>
      <c r="N1156" s="6"/>
    </row>
    <row r="1157" spans="2:14">
      <c r="B1157" s="6"/>
      <c r="N1157" s="6"/>
    </row>
    <row r="1158" spans="2:14">
      <c r="B1158" s="6"/>
      <c r="N1158" s="6"/>
    </row>
    <row r="1159" spans="2:14">
      <c r="B1159" s="6"/>
      <c r="N1159" s="6"/>
    </row>
    <row r="1160" spans="2:14">
      <c r="B1160" s="6"/>
      <c r="N1160" s="6"/>
    </row>
    <row r="1161" spans="2:14">
      <c r="B1161" s="6"/>
      <c r="N1161" s="6"/>
    </row>
    <row r="1162" spans="2:14">
      <c r="B1162" s="6"/>
      <c r="N1162" s="6"/>
    </row>
    <row r="1163" spans="2:14">
      <c r="B1163" s="6"/>
      <c r="N1163" s="6"/>
    </row>
    <row r="1164" spans="2:14">
      <c r="B1164" s="6"/>
      <c r="N1164" s="6"/>
    </row>
    <row r="1165" spans="2:14">
      <c r="B1165" s="6"/>
      <c r="N1165" s="6"/>
    </row>
    <row r="1166" spans="2:14">
      <c r="B1166" s="6"/>
      <c r="N1166" s="6"/>
    </row>
    <row r="1167" spans="2:14">
      <c r="B1167" s="6"/>
      <c r="N1167" s="6"/>
    </row>
    <row r="1168" spans="2:14">
      <c r="B1168" s="6"/>
      <c r="N1168" s="6"/>
    </row>
    <row r="1169" spans="2:14">
      <c r="B1169" s="6"/>
      <c r="N1169" s="6"/>
    </row>
    <row r="1170" spans="2:14">
      <c r="B1170" s="6"/>
      <c r="N1170" s="6"/>
    </row>
    <row r="1171" spans="2:14">
      <c r="B1171" s="6"/>
      <c r="N1171" s="6"/>
    </row>
    <row r="1172" spans="2:14">
      <c r="B1172" s="6"/>
      <c r="N1172" s="6"/>
    </row>
    <row r="1173" spans="2:14">
      <c r="B1173" s="6"/>
      <c r="N1173" s="6"/>
    </row>
    <row r="1174" spans="2:14">
      <c r="B1174" s="6"/>
      <c r="N1174" s="6"/>
    </row>
    <row r="1175" spans="2:14">
      <c r="B1175" s="6"/>
      <c r="N1175" s="6"/>
    </row>
    <row r="1176" spans="2:14">
      <c r="B1176" s="6"/>
      <c r="N1176" s="6"/>
    </row>
    <row r="1177" spans="2:14">
      <c r="B1177" s="6"/>
      <c r="N1177" s="6"/>
    </row>
    <row r="1178" spans="2:14">
      <c r="B1178" s="6"/>
      <c r="N1178" s="6"/>
    </row>
    <row r="1179" spans="2:14">
      <c r="B1179" s="6"/>
      <c r="N1179" s="6"/>
    </row>
    <row r="1180" spans="2:14">
      <c r="B1180" s="6"/>
      <c r="N1180" s="6"/>
    </row>
    <row r="1181" spans="2:14">
      <c r="B1181" s="6"/>
      <c r="N1181" s="6"/>
    </row>
    <row r="1182" spans="2:14">
      <c r="B1182" s="6"/>
      <c r="N1182" s="6"/>
    </row>
    <row r="1183" spans="2:14">
      <c r="B1183" s="6"/>
      <c r="N1183" s="6"/>
    </row>
    <row r="1184" spans="2:14">
      <c r="B1184" s="6"/>
      <c r="N1184" s="6"/>
    </row>
    <row r="1185" spans="2:14">
      <c r="B1185" s="6"/>
      <c r="N1185" s="6"/>
    </row>
    <row r="1186" spans="2:14">
      <c r="B1186" s="6"/>
    </row>
    <row r="1187" spans="2:14">
      <c r="B1187" s="6"/>
    </row>
    <row r="1188" spans="2:14">
      <c r="B1188" s="6"/>
    </row>
    <row r="1189" spans="2:14">
      <c r="B1189" s="6"/>
    </row>
    <row r="1190" spans="2:14">
      <c r="B1190" s="6"/>
    </row>
    <row r="1191" spans="2:14">
      <c r="B1191" s="6"/>
    </row>
  </sheetData>
  <mergeCells count="3">
    <mergeCell ref="C5:D5"/>
    <mergeCell ref="C6:F6"/>
    <mergeCell ref="C11:D11"/>
  </mergeCells>
  <phoneticPr fontId="10" type="noConversion"/>
  <conditionalFormatting sqref="K13:K99">
    <cfRule type="cellIs" dxfId="5" priority="1" operator="lessThan">
      <formula>0</formula>
    </cfRule>
    <cfRule type="cellIs" dxfId="4" priority="2" operator="equal">
      <formula>""</formula>
    </cfRule>
    <cfRule type="cellIs" dxfId="3" priority="3" operator="equal">
      <formula>""""""</formula>
    </cfRule>
    <cfRule type="cellIs" dxfId="2" priority="5" operator="greaterThan">
      <formula>0</formula>
    </cfRule>
    <cfRule type="containsText" dxfId="1" priority="6" operator="containsText" text="0">
      <formula>NOT(ISERROR(SEARCH("0",K13)))</formula>
    </cfRule>
    <cfRule type="cellIs" dxfId="0" priority="7" operator="lessThan">
      <formula>0</formula>
    </cfRule>
  </conditionalFormatting>
  <dataValidations count="1">
    <dataValidation type="list" allowBlank="1" showInputMessage="1" showErrorMessage="1" sqref="I8" xr:uid="{1F43DADE-9FF2-4A11-9758-802D3151DC51}">
      <formula1>INDIRECT("listeClients[NOM]")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4F5D-65B2-430A-A94C-BE0D1745165A}">
  <sheetPr codeName="Feuil3"/>
  <dimension ref="A1:AH123"/>
  <sheetViews>
    <sheetView showGridLines="0" topLeftCell="A2" workbookViewId="0">
      <selection activeCell="A19" sqref="A19:XFD19"/>
    </sheetView>
  </sheetViews>
  <sheetFormatPr baseColWidth="10" defaultRowHeight="14.4"/>
  <cols>
    <col min="1" max="2" width="11.5546875" style="6"/>
    <col min="3" max="3" width="16.44140625" style="8" customWidth="1"/>
    <col min="4" max="4" width="22.33203125" style="6" customWidth="1"/>
    <col min="5" max="5" width="24.109375" style="26" customWidth="1"/>
    <col min="6" max="6" width="22.109375" style="6" customWidth="1"/>
    <col min="7" max="7" width="20.5546875" style="21" customWidth="1"/>
    <col min="8" max="8" width="23.21875" style="6" customWidth="1"/>
    <col min="9" max="16384" width="11.5546875" style="6"/>
  </cols>
  <sheetData>
    <row r="1" spans="1:9">
      <c r="B1" s="9"/>
      <c r="C1" s="13"/>
      <c r="D1" s="9"/>
      <c r="E1" s="25"/>
      <c r="F1" s="9"/>
      <c r="G1" s="20"/>
      <c r="H1" s="9"/>
      <c r="I1" s="9"/>
    </row>
    <row r="2" spans="1:9">
      <c r="B2" s="9"/>
      <c r="C2" s="13"/>
      <c r="D2" s="9"/>
      <c r="E2" s="25"/>
      <c r="F2" s="9"/>
      <c r="G2" s="20"/>
      <c r="H2" s="9"/>
      <c r="I2" s="9"/>
    </row>
    <row r="3" spans="1:9">
      <c r="B3" s="9"/>
      <c r="C3" s="13"/>
      <c r="D3" s="9"/>
      <c r="E3" s="25"/>
      <c r="F3" s="9"/>
      <c r="G3" s="20"/>
      <c r="H3" s="9"/>
      <c r="I3" s="9"/>
    </row>
    <row r="4" spans="1:9">
      <c r="B4" s="9"/>
      <c r="C4" s="13"/>
      <c r="D4" s="9"/>
      <c r="E4" s="25"/>
      <c r="F4" s="9"/>
      <c r="G4" s="20"/>
      <c r="H4" s="9"/>
      <c r="I4" s="9"/>
    </row>
    <row r="5" spans="1:9" ht="19.2">
      <c r="B5" s="9"/>
      <c r="C5" s="69" t="s">
        <v>70</v>
      </c>
      <c r="D5" s="70"/>
      <c r="E5" s="25"/>
      <c r="F5" s="9"/>
      <c r="G5" s="20"/>
      <c r="H5" s="9"/>
      <c r="I5" s="9"/>
    </row>
    <row r="6" spans="1:9">
      <c r="B6" s="9"/>
      <c r="C6" s="71" t="s">
        <v>71</v>
      </c>
      <c r="D6" s="72"/>
      <c r="E6" s="72"/>
      <c r="F6" s="72"/>
      <c r="G6" s="20"/>
      <c r="H6" s="9"/>
      <c r="I6" s="9"/>
    </row>
    <row r="7" spans="1:9">
      <c r="B7" s="9"/>
      <c r="C7" s="13"/>
      <c r="D7" s="10"/>
      <c r="E7" s="25"/>
      <c r="F7" s="47"/>
      <c r="G7" s="20"/>
      <c r="H7" s="9"/>
      <c r="I7" s="9"/>
    </row>
    <row r="8" spans="1:9" ht="15.6" customHeight="1">
      <c r="B8" s="9"/>
      <c r="C8" s="11" t="s">
        <v>2</v>
      </c>
      <c r="D8" s="45"/>
      <c r="E8" s="11" t="s">
        <v>73</v>
      </c>
      <c r="F8" s="48"/>
      <c r="G8" s="22"/>
      <c r="H8" s="9"/>
      <c r="I8" s="9"/>
    </row>
    <row r="9" spans="1:9" ht="15.6">
      <c r="B9" s="9"/>
      <c r="C9" s="11" t="s">
        <v>6</v>
      </c>
      <c r="D9" s="46" t="str">
        <f>IFERROR(VLOOKUP(D8,listeCreances[#All],3,0),"")</f>
        <v/>
      </c>
      <c r="E9" s="11" t="s">
        <v>78</v>
      </c>
      <c r="F9" s="49"/>
      <c r="G9" s="20"/>
      <c r="H9" s="9"/>
      <c r="I9" s="9"/>
    </row>
    <row r="10" spans="1:9" ht="15.6">
      <c r="B10" s="9"/>
      <c r="C10" s="11" t="s">
        <v>76</v>
      </c>
      <c r="D10" s="35" t="str">
        <f>IFERROR(VLOOKUP(D8,listeCreances[#All],7,0),"")</f>
        <v/>
      </c>
      <c r="E10" s="11" t="s">
        <v>79</v>
      </c>
      <c r="F10" s="49"/>
      <c r="G10" s="20"/>
      <c r="H10" s="9"/>
      <c r="I10" s="9"/>
    </row>
    <row r="11" spans="1:9" ht="15.6">
      <c r="B11" s="9"/>
      <c r="C11" s="11" t="s">
        <v>77</v>
      </c>
      <c r="D11" s="46" t="str">
        <f>IFERROR(VLOOKUP(D8,listeCreances[#All],9,0),"")</f>
        <v/>
      </c>
      <c r="E11" s="11" t="s">
        <v>75</v>
      </c>
      <c r="F11" s="49"/>
      <c r="G11" s="20"/>
      <c r="H11" s="9"/>
      <c r="I11" s="9"/>
    </row>
    <row r="12" spans="1:9">
      <c r="B12" s="9"/>
      <c r="C12" s="13"/>
      <c r="D12" s="9"/>
      <c r="E12" s="25"/>
      <c r="F12" s="9"/>
      <c r="G12" s="20"/>
      <c r="H12" s="9"/>
      <c r="I12" s="9"/>
    </row>
    <row r="13" spans="1:9">
      <c r="B13" s="9"/>
      <c r="C13" s="13"/>
      <c r="D13" s="9"/>
      <c r="E13" s="25"/>
      <c r="F13" s="9"/>
      <c r="G13" s="20"/>
      <c r="H13" s="9"/>
      <c r="I13" s="9"/>
    </row>
    <row r="14" spans="1:9" s="8" customFormat="1">
      <c r="A14" s="6"/>
      <c r="B14" s="13"/>
      <c r="C14" s="13"/>
      <c r="D14" s="9"/>
      <c r="E14" s="25"/>
      <c r="F14" s="9"/>
      <c r="G14" s="20"/>
      <c r="H14" s="9"/>
      <c r="I14" s="13"/>
    </row>
    <row r="15" spans="1:9" s="8" customFormat="1">
      <c r="A15" s="6"/>
      <c r="B15" s="13"/>
      <c r="C15" s="13"/>
      <c r="D15" s="9"/>
      <c r="E15" s="25"/>
      <c r="F15" s="9"/>
      <c r="G15" s="20"/>
      <c r="H15" s="9"/>
      <c r="I15" s="13"/>
    </row>
    <row r="16" spans="1:9" ht="19.2">
      <c r="B16" s="9"/>
      <c r="C16" s="73" t="s">
        <v>72</v>
      </c>
      <c r="D16" s="74"/>
      <c r="E16" s="25"/>
      <c r="F16" s="9"/>
      <c r="G16" s="20"/>
      <c r="H16" s="9"/>
      <c r="I16" s="9"/>
    </row>
    <row r="17" spans="1:9">
      <c r="B17" s="9"/>
      <c r="C17" s="13"/>
      <c r="D17" s="9"/>
      <c r="E17" s="25"/>
      <c r="F17" s="9"/>
      <c r="G17" s="20"/>
      <c r="H17" s="9"/>
      <c r="I17" s="9"/>
    </row>
    <row r="18" spans="1:9" s="17" customFormat="1">
      <c r="A18" s="6"/>
      <c r="B18" s="18"/>
      <c r="C18" s="18" t="s">
        <v>2</v>
      </c>
      <c r="D18" s="18" t="s">
        <v>6</v>
      </c>
      <c r="E18" s="18" t="s">
        <v>73</v>
      </c>
      <c r="F18" s="18" t="s">
        <v>74</v>
      </c>
      <c r="G18" s="23" t="s">
        <v>10</v>
      </c>
      <c r="H18" s="18" t="s">
        <v>75</v>
      </c>
      <c r="I18" s="18"/>
    </row>
    <row r="19" spans="1:9" s="17" customFormat="1">
      <c r="A19" s="6"/>
      <c r="B19" s="18"/>
      <c r="C19" s="18" t="s">
        <v>197</v>
      </c>
      <c r="D19" s="18" t="s">
        <v>34</v>
      </c>
      <c r="E19" s="19">
        <v>45711</v>
      </c>
      <c r="F19" s="18" t="s">
        <v>203</v>
      </c>
      <c r="G19" s="23">
        <v>22000</v>
      </c>
      <c r="H19" s="18" t="s">
        <v>82</v>
      </c>
      <c r="I19" s="18"/>
    </row>
    <row r="20" spans="1:9" s="17" customFormat="1">
      <c r="A20" s="6"/>
      <c r="B20" s="18"/>
      <c r="C20" s="18" t="s">
        <v>175</v>
      </c>
      <c r="D20" s="18" t="s">
        <v>25</v>
      </c>
      <c r="E20" s="19">
        <v>45708</v>
      </c>
      <c r="F20" s="18" t="s">
        <v>176</v>
      </c>
      <c r="G20" s="23">
        <v>1500</v>
      </c>
      <c r="H20" s="18" t="s">
        <v>82</v>
      </c>
      <c r="I20" s="18"/>
    </row>
    <row r="21" spans="1:9" s="17" customFormat="1">
      <c r="A21" s="6"/>
      <c r="B21" s="18"/>
      <c r="C21" s="18" t="s">
        <v>160</v>
      </c>
      <c r="D21" s="18" t="s">
        <v>86</v>
      </c>
      <c r="E21" s="19">
        <v>45706</v>
      </c>
      <c r="F21" s="18" t="s">
        <v>210</v>
      </c>
      <c r="G21" s="23">
        <v>5000</v>
      </c>
      <c r="H21" s="18" t="s">
        <v>80</v>
      </c>
      <c r="I21" s="18"/>
    </row>
    <row r="22" spans="1:9" s="17" customFormat="1">
      <c r="A22" s="6"/>
      <c r="B22" s="18"/>
      <c r="C22" s="18" t="s">
        <v>156</v>
      </c>
      <c r="D22" s="18" t="s">
        <v>87</v>
      </c>
      <c r="E22" s="19">
        <v>45708</v>
      </c>
      <c r="F22" s="18" t="s">
        <v>211</v>
      </c>
      <c r="G22" s="23">
        <v>5000</v>
      </c>
      <c r="H22" s="18" t="s">
        <v>81</v>
      </c>
      <c r="I22" s="18"/>
    </row>
    <row r="23" spans="1:9" s="17" customFormat="1">
      <c r="A23" s="6"/>
      <c r="B23" s="18"/>
      <c r="C23" s="18" t="s">
        <v>154</v>
      </c>
      <c r="D23" s="18" t="s">
        <v>89</v>
      </c>
      <c r="E23" s="19">
        <v>45700</v>
      </c>
      <c r="F23" s="18" t="s">
        <v>212</v>
      </c>
      <c r="G23" s="23">
        <v>4000</v>
      </c>
      <c r="H23" s="18" t="s">
        <v>81</v>
      </c>
      <c r="I23" s="18"/>
    </row>
    <row r="24" spans="1:9" s="17" customFormat="1">
      <c r="A24" s="6"/>
      <c r="B24" s="18"/>
      <c r="C24" s="18" t="s">
        <v>153</v>
      </c>
      <c r="D24" s="18" t="s">
        <v>89</v>
      </c>
      <c r="E24" s="19">
        <v>45706</v>
      </c>
      <c r="F24" s="18" t="s">
        <v>213</v>
      </c>
      <c r="G24" s="23">
        <v>15000</v>
      </c>
      <c r="H24" s="18" t="s">
        <v>82</v>
      </c>
      <c r="I24" s="18"/>
    </row>
    <row r="25" spans="1:9" s="17" customFormat="1">
      <c r="A25" s="6"/>
      <c r="B25" s="18"/>
      <c r="C25" s="18" t="s">
        <v>150</v>
      </c>
      <c r="D25" s="18" t="s">
        <v>85</v>
      </c>
      <c r="E25" s="19">
        <v>45703</v>
      </c>
      <c r="F25" s="18" t="s">
        <v>214</v>
      </c>
      <c r="G25" s="23">
        <v>7800</v>
      </c>
      <c r="H25" s="18" t="s">
        <v>82</v>
      </c>
      <c r="I25" s="18"/>
    </row>
    <row r="26" spans="1:9" s="17" customFormat="1">
      <c r="A26" s="6"/>
      <c r="B26" s="18"/>
      <c r="C26" s="18" t="s">
        <v>149</v>
      </c>
      <c r="D26" s="18" t="s">
        <v>89</v>
      </c>
      <c r="E26" s="19">
        <v>45698</v>
      </c>
      <c r="F26" s="18" t="s">
        <v>215</v>
      </c>
      <c r="G26" s="23">
        <v>1500</v>
      </c>
      <c r="H26" s="18" t="s">
        <v>80</v>
      </c>
      <c r="I26" s="18"/>
    </row>
    <row r="27" spans="1:9" s="17" customFormat="1">
      <c r="A27" s="6"/>
      <c r="B27" s="18"/>
      <c r="C27" s="18" t="s">
        <v>147</v>
      </c>
      <c r="D27" s="18" t="s">
        <v>90</v>
      </c>
      <c r="E27" s="19">
        <v>45693</v>
      </c>
      <c r="F27" s="18" t="s">
        <v>216</v>
      </c>
      <c r="G27" s="23">
        <v>800</v>
      </c>
      <c r="H27" s="18" t="s">
        <v>81</v>
      </c>
      <c r="I27" s="18"/>
    </row>
    <row r="28" spans="1:9" s="17" customFormat="1">
      <c r="A28" s="6"/>
      <c r="B28" s="18"/>
      <c r="C28" s="18" t="s">
        <v>146</v>
      </c>
      <c r="D28" s="18" t="s">
        <v>85</v>
      </c>
      <c r="E28" s="19">
        <v>45654</v>
      </c>
      <c r="F28" s="18" t="s">
        <v>217</v>
      </c>
      <c r="G28" s="23">
        <v>1500</v>
      </c>
      <c r="H28" s="18" t="s">
        <v>80</v>
      </c>
      <c r="I28" s="18"/>
    </row>
    <row r="29" spans="1:9" s="17" customFormat="1">
      <c r="A29" s="6"/>
      <c r="B29" s="18"/>
      <c r="C29" s="18" t="s">
        <v>145</v>
      </c>
      <c r="D29" s="18" t="s">
        <v>88</v>
      </c>
      <c r="E29" s="19">
        <v>45652</v>
      </c>
      <c r="F29" s="18" t="s">
        <v>218</v>
      </c>
      <c r="G29" s="23">
        <v>300</v>
      </c>
      <c r="H29" s="18" t="s">
        <v>81</v>
      </c>
      <c r="I29" s="18"/>
    </row>
    <row r="30" spans="1:9" s="17" customFormat="1">
      <c r="A30" s="6"/>
      <c r="B30" s="18"/>
      <c r="C30" s="18" t="s">
        <v>138</v>
      </c>
      <c r="D30" s="18" t="s">
        <v>85</v>
      </c>
      <c r="E30" s="19">
        <v>45658</v>
      </c>
      <c r="F30" s="18" t="s">
        <v>219</v>
      </c>
      <c r="G30" s="23">
        <v>200</v>
      </c>
      <c r="H30" s="18" t="s">
        <v>81</v>
      </c>
      <c r="I30" s="18"/>
    </row>
    <row r="31" spans="1:9" s="17" customFormat="1">
      <c r="A31" s="6"/>
      <c r="B31" s="18"/>
      <c r="C31" s="18" t="s">
        <v>137</v>
      </c>
      <c r="D31" s="18" t="s">
        <v>93</v>
      </c>
      <c r="E31" s="19">
        <v>45649</v>
      </c>
      <c r="F31" s="18" t="s">
        <v>220</v>
      </c>
      <c r="G31" s="23">
        <v>200</v>
      </c>
      <c r="H31" s="18" t="s">
        <v>81</v>
      </c>
      <c r="I31" s="18"/>
    </row>
    <row r="32" spans="1:9" s="17" customFormat="1">
      <c r="A32" s="6"/>
      <c r="B32" s="18"/>
      <c r="C32" s="18" t="s">
        <v>135</v>
      </c>
      <c r="D32" s="18" t="s">
        <v>94</v>
      </c>
      <c r="E32" s="19">
        <v>45646</v>
      </c>
      <c r="F32" s="18" t="s">
        <v>221</v>
      </c>
      <c r="G32" s="23">
        <v>300</v>
      </c>
      <c r="H32" s="18" t="s">
        <v>81</v>
      </c>
      <c r="I32" s="18"/>
    </row>
    <row r="33" spans="1:34" s="17" customFormat="1">
      <c r="A33" s="6"/>
      <c r="B33" s="18"/>
      <c r="C33" s="18" t="s">
        <v>200</v>
      </c>
      <c r="D33" s="18" t="s">
        <v>56</v>
      </c>
      <c r="E33" s="19">
        <v>45703</v>
      </c>
      <c r="F33" s="18" t="s">
        <v>206</v>
      </c>
      <c r="G33" s="23">
        <v>5000</v>
      </c>
      <c r="H33" s="18" t="s">
        <v>81</v>
      </c>
      <c r="I33" s="18"/>
    </row>
    <row r="34" spans="1:34" s="17" customFormat="1">
      <c r="A34" s="6"/>
      <c r="B34" s="18"/>
      <c r="C34" s="18" t="s">
        <v>199</v>
      </c>
      <c r="D34" s="18" t="s">
        <v>37</v>
      </c>
      <c r="E34" s="19">
        <v>45691</v>
      </c>
      <c r="F34" s="18" t="s">
        <v>205</v>
      </c>
      <c r="G34" s="23">
        <v>6000</v>
      </c>
      <c r="H34" s="18" t="s">
        <v>82</v>
      </c>
      <c r="I34" s="18"/>
    </row>
    <row r="35" spans="1:34" s="17" customFormat="1">
      <c r="A35" s="6"/>
      <c r="B35" s="18"/>
      <c r="C35" s="18" t="s">
        <v>198</v>
      </c>
      <c r="D35" s="18" t="s">
        <v>31</v>
      </c>
      <c r="E35" s="19">
        <v>45690</v>
      </c>
      <c r="F35" s="18" t="s">
        <v>204</v>
      </c>
      <c r="G35" s="23">
        <v>10000</v>
      </c>
      <c r="H35" s="18" t="s">
        <v>82</v>
      </c>
      <c r="I35" s="18"/>
    </row>
    <row r="36" spans="1:34" s="17" customFormat="1">
      <c r="A36" s="6"/>
      <c r="B36" s="18"/>
      <c r="C36" s="18" t="s">
        <v>197</v>
      </c>
      <c r="D36" s="18" t="s">
        <v>22</v>
      </c>
      <c r="E36" s="19">
        <v>45688</v>
      </c>
      <c r="F36" s="18" t="s">
        <v>203</v>
      </c>
      <c r="G36" s="23">
        <v>7500</v>
      </c>
      <c r="H36" s="18" t="s">
        <v>80</v>
      </c>
      <c r="I36" s="18"/>
    </row>
    <row r="37" spans="1:34" s="17" customFormat="1">
      <c r="A37" s="6"/>
      <c r="B37" s="18"/>
      <c r="C37" s="18" t="s">
        <v>175</v>
      </c>
      <c r="D37" s="18" t="s">
        <v>25</v>
      </c>
      <c r="E37" s="19">
        <v>45688</v>
      </c>
      <c r="F37" s="18" t="s">
        <v>176</v>
      </c>
      <c r="G37" s="23">
        <v>5000</v>
      </c>
      <c r="H37" s="18" t="s">
        <v>82</v>
      </c>
      <c r="I37" s="18"/>
    </row>
    <row r="38" spans="1:34" s="17" customFormat="1">
      <c r="A38" s="6"/>
      <c r="B38" s="18"/>
      <c r="C38" s="18" t="s">
        <v>165</v>
      </c>
      <c r="D38" s="18" t="s">
        <v>65</v>
      </c>
      <c r="E38" s="19">
        <v>45682</v>
      </c>
      <c r="F38" s="18" t="s">
        <v>166</v>
      </c>
      <c r="G38" s="23">
        <v>2500</v>
      </c>
      <c r="H38" s="18" t="s">
        <v>80</v>
      </c>
      <c r="I38" s="18"/>
    </row>
    <row r="39" spans="1:34" s="8" customFormat="1">
      <c r="A39" s="6"/>
      <c r="B39" s="13"/>
      <c r="C39" s="13" t="s">
        <v>134</v>
      </c>
      <c r="D39" s="18" t="s">
        <v>94</v>
      </c>
      <c r="E39" s="14">
        <v>45685</v>
      </c>
      <c r="F39" s="13" t="str">
        <f>SUBSTITUTE(réglement[[#This Row],[N° de facture]],"F","R")</f>
        <v>R-039</v>
      </c>
      <c r="G39" s="15">
        <v>4000</v>
      </c>
      <c r="H39" s="13" t="s">
        <v>80</v>
      </c>
      <c r="I39" s="13"/>
    </row>
    <row r="40" spans="1:34" s="8" customFormat="1">
      <c r="A40" s="6"/>
      <c r="B40" s="13"/>
      <c r="C40" s="13" t="s">
        <v>133</v>
      </c>
      <c r="D40" s="18" t="s">
        <v>85</v>
      </c>
      <c r="E40" s="14">
        <v>45686</v>
      </c>
      <c r="F40" s="13" t="str">
        <f>SUBSTITUTE(réglement[[#This Row],[N° de facture]],"F","R")</f>
        <v>R-038</v>
      </c>
      <c r="G40" s="15">
        <v>600</v>
      </c>
      <c r="H40" s="13" t="s">
        <v>80</v>
      </c>
      <c r="I40" s="13"/>
    </row>
    <row r="41" spans="1:34" s="8" customFormat="1">
      <c r="A41" s="6"/>
      <c r="B41" s="13"/>
      <c r="C41" s="13" t="s">
        <v>132</v>
      </c>
      <c r="D41" s="18" t="s">
        <v>92</v>
      </c>
      <c r="E41" s="14">
        <v>45687</v>
      </c>
      <c r="F41" s="13" t="str">
        <f>SUBSTITUTE(réglement[[#This Row],[N° de facture]],"F","R")</f>
        <v>R-037</v>
      </c>
      <c r="G41" s="15">
        <v>10</v>
      </c>
      <c r="H41" s="13" t="s">
        <v>80</v>
      </c>
      <c r="I41" s="13"/>
    </row>
    <row r="42" spans="1:34" s="8" customFormat="1" ht="15" customHeight="1">
      <c r="A42" s="6"/>
      <c r="B42" s="13"/>
      <c r="C42" s="13" t="s">
        <v>131</v>
      </c>
      <c r="D42" s="18" t="s">
        <v>87</v>
      </c>
      <c r="E42" s="14">
        <v>45688</v>
      </c>
      <c r="F42" s="13" t="str">
        <f>SUBSTITUTE(réglement[[#This Row],[N° de facture]],"F","R")</f>
        <v>R-036</v>
      </c>
      <c r="G42" s="15">
        <v>250</v>
      </c>
      <c r="H42" s="13" t="s">
        <v>82</v>
      </c>
      <c r="I42" s="13"/>
    </row>
    <row r="43" spans="1:34" s="8" customFormat="1">
      <c r="A43" s="6"/>
      <c r="B43" s="13"/>
      <c r="C43" s="13" t="s">
        <v>130</v>
      </c>
      <c r="D43" s="18" t="s">
        <v>95</v>
      </c>
      <c r="E43" s="29">
        <v>45682</v>
      </c>
      <c r="F43" s="13" t="str">
        <f>SUBSTITUTE(réglement[[#This Row],[N° de facture]],"F","R")</f>
        <v>R-035</v>
      </c>
      <c r="G43" s="31">
        <v>2500</v>
      </c>
      <c r="H43" s="13" t="s">
        <v>82</v>
      </c>
      <c r="I43" s="13"/>
    </row>
    <row r="44" spans="1:34" s="9" customFormat="1">
      <c r="A44" s="6"/>
      <c r="C44" s="13" t="s">
        <v>129</v>
      </c>
      <c r="D44" s="18" t="s">
        <v>96</v>
      </c>
      <c r="E44" s="29">
        <v>45726</v>
      </c>
      <c r="F44" s="13" t="str">
        <f>SUBSTITUTE(réglement[[#This Row],[N° de facture]],"F","R")</f>
        <v>R-034</v>
      </c>
      <c r="G44" s="31">
        <v>8000</v>
      </c>
      <c r="H44" s="13" t="s">
        <v>82</v>
      </c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</row>
    <row r="45" spans="1:34" s="9" customFormat="1">
      <c r="A45" s="6"/>
      <c r="C45" s="13" t="s">
        <v>128</v>
      </c>
      <c r="D45" s="18" t="s">
        <v>97</v>
      </c>
      <c r="E45" s="29">
        <v>45682</v>
      </c>
      <c r="F45" s="13" t="str">
        <f>SUBSTITUTE(réglement[[#This Row],[N° de facture]],"F","R")</f>
        <v>R-033</v>
      </c>
      <c r="G45" s="31">
        <v>8000</v>
      </c>
      <c r="H45" s="13" t="s">
        <v>82</v>
      </c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</row>
    <row r="46" spans="1:34" s="8" customFormat="1">
      <c r="A46" s="6"/>
      <c r="B46" s="13"/>
      <c r="C46" s="13" t="s">
        <v>127</v>
      </c>
      <c r="D46" s="18" t="s">
        <v>95</v>
      </c>
      <c r="E46" s="29">
        <v>45757</v>
      </c>
      <c r="F46" s="13" t="str">
        <f>SUBSTITUTE(réglement[[#This Row],[N° de facture]],"F","R")</f>
        <v>R-032</v>
      </c>
      <c r="G46" s="31">
        <v>4000</v>
      </c>
      <c r="H46" s="13" t="s">
        <v>82</v>
      </c>
      <c r="I46" s="13"/>
    </row>
    <row r="47" spans="1:34" s="8" customFormat="1" ht="16.2">
      <c r="A47" s="6"/>
      <c r="B47" s="13"/>
      <c r="C47" s="13" t="s">
        <v>126</v>
      </c>
      <c r="D47" s="18" t="s">
        <v>98</v>
      </c>
      <c r="E47" s="32">
        <v>45793</v>
      </c>
      <c r="F47" s="13" t="str">
        <f>SUBSTITUTE(réglement[[#This Row],[N° de facture]],"F","R")</f>
        <v>R-031</v>
      </c>
      <c r="G47" s="33">
        <v>200</v>
      </c>
      <c r="H47" s="13" t="s">
        <v>82</v>
      </c>
      <c r="I47" s="13"/>
    </row>
    <row r="48" spans="1:34" ht="16.2">
      <c r="B48" s="9"/>
      <c r="C48" s="13" t="s">
        <v>125</v>
      </c>
      <c r="D48" s="18" t="s">
        <v>88</v>
      </c>
      <c r="E48" s="32">
        <v>45821</v>
      </c>
      <c r="F48" s="13" t="str">
        <f>SUBSTITUTE(réglement[[#This Row],[N° de facture]],"F","R")</f>
        <v>R-030</v>
      </c>
      <c r="G48" s="33">
        <v>140</v>
      </c>
      <c r="H48" s="13" t="s">
        <v>82</v>
      </c>
      <c r="I48" s="9"/>
    </row>
    <row r="49" spans="2:9" ht="16.2">
      <c r="B49" s="9"/>
      <c r="C49" s="13" t="s">
        <v>124</v>
      </c>
      <c r="D49" s="18" t="s">
        <v>99</v>
      </c>
      <c r="E49" s="32">
        <v>45787</v>
      </c>
      <c r="F49" s="13" t="str">
        <f>SUBSTITUTE(réglement[[#This Row],[N° de facture]],"F","R")</f>
        <v>R-029</v>
      </c>
      <c r="G49" s="33">
        <v>200</v>
      </c>
      <c r="H49" s="13" t="s">
        <v>82</v>
      </c>
      <c r="I49" s="9"/>
    </row>
    <row r="50" spans="2:9" ht="16.2">
      <c r="B50" s="9"/>
      <c r="C50" s="13" t="s">
        <v>123</v>
      </c>
      <c r="D50" s="18" t="s">
        <v>92</v>
      </c>
      <c r="E50" s="32">
        <v>45787</v>
      </c>
      <c r="F50" s="13" t="str">
        <f>SUBSTITUTE(réglement[[#This Row],[N° de facture]],"F","R")</f>
        <v>R-028</v>
      </c>
      <c r="G50" s="33">
        <v>150</v>
      </c>
      <c r="H50" s="13" t="s">
        <v>80</v>
      </c>
      <c r="I50" s="9"/>
    </row>
    <row r="51" spans="2:9" ht="16.2">
      <c r="B51" s="9"/>
      <c r="C51" s="13" t="s">
        <v>122</v>
      </c>
      <c r="D51" s="18" t="s">
        <v>86</v>
      </c>
      <c r="E51" s="32">
        <v>45787</v>
      </c>
      <c r="F51" s="13" t="str">
        <f>SUBSTITUTE(réglement[[#This Row],[N° de facture]],"F","R")</f>
        <v>R-027</v>
      </c>
      <c r="G51" s="33">
        <v>60</v>
      </c>
      <c r="H51" s="13" t="s">
        <v>80</v>
      </c>
      <c r="I51" s="9"/>
    </row>
    <row r="52" spans="2:9" ht="16.2">
      <c r="B52" s="9"/>
      <c r="C52" s="13" t="s">
        <v>121</v>
      </c>
      <c r="D52" s="18" t="s">
        <v>93</v>
      </c>
      <c r="E52" s="32">
        <v>45787</v>
      </c>
      <c r="F52" s="13" t="str">
        <f>SUBSTITUTE(réglement[[#This Row],[N° de facture]],"F","R")</f>
        <v>R-026</v>
      </c>
      <c r="G52" s="33">
        <v>500</v>
      </c>
      <c r="H52" s="13" t="s">
        <v>80</v>
      </c>
      <c r="I52" s="9"/>
    </row>
    <row r="53" spans="2:9" ht="16.2">
      <c r="B53" s="9"/>
      <c r="C53" s="13" t="s">
        <v>120</v>
      </c>
      <c r="D53" s="18" t="s">
        <v>94</v>
      </c>
      <c r="E53" s="32">
        <v>45818</v>
      </c>
      <c r="F53" s="13" t="str">
        <f>SUBSTITUTE(réglement[[#This Row],[N° de facture]],"F","R")</f>
        <v>R-025</v>
      </c>
      <c r="G53" s="33">
        <v>800</v>
      </c>
      <c r="H53" s="13" t="s">
        <v>80</v>
      </c>
      <c r="I53" s="9"/>
    </row>
    <row r="54" spans="2:9" ht="16.2">
      <c r="B54" s="9"/>
      <c r="C54" s="13" t="s">
        <v>119</v>
      </c>
      <c r="D54" s="18" t="s">
        <v>97</v>
      </c>
      <c r="E54" s="32">
        <v>45814</v>
      </c>
      <c r="F54" s="13" t="str">
        <f>SUBSTITUTE(réglement[[#This Row],[N° de facture]],"F","R")</f>
        <v>R-024</v>
      </c>
      <c r="G54" s="33">
        <v>400</v>
      </c>
      <c r="H54" s="13" t="s">
        <v>81</v>
      </c>
      <c r="I54" s="9"/>
    </row>
    <row r="55" spans="2:9" ht="16.2">
      <c r="B55" s="9"/>
      <c r="C55" s="13" t="s">
        <v>118</v>
      </c>
      <c r="D55" s="18" t="s">
        <v>91</v>
      </c>
      <c r="E55" s="32">
        <v>45787</v>
      </c>
      <c r="F55" s="13" t="str">
        <f>SUBSTITUTE(réglement[[#This Row],[N° de facture]],"F","R")</f>
        <v>R-023</v>
      </c>
      <c r="G55" s="33">
        <v>100</v>
      </c>
      <c r="H55" s="13" t="s">
        <v>81</v>
      </c>
      <c r="I55" s="9"/>
    </row>
    <row r="56" spans="2:9" ht="16.2">
      <c r="B56" s="9"/>
      <c r="C56" s="13" t="s">
        <v>117</v>
      </c>
      <c r="D56" s="18" t="s">
        <v>97</v>
      </c>
      <c r="E56" s="32">
        <v>45781</v>
      </c>
      <c r="F56" s="13" t="str">
        <f>SUBSTITUTE(réglement[[#This Row],[N° de facture]],"F","R")</f>
        <v>R-022</v>
      </c>
      <c r="G56" s="33">
        <v>700</v>
      </c>
      <c r="H56" s="13" t="s">
        <v>81</v>
      </c>
      <c r="I56" s="9"/>
    </row>
    <row r="57" spans="2:9" ht="16.2">
      <c r="B57" s="9"/>
      <c r="C57" s="13" t="s">
        <v>116</v>
      </c>
      <c r="D57" s="18" t="s">
        <v>98</v>
      </c>
      <c r="E57" s="32">
        <v>45659</v>
      </c>
      <c r="F57" s="13" t="str">
        <f>SUBSTITUTE(réglement[[#This Row],[N° de facture]],"F","R")</f>
        <v>R-021</v>
      </c>
      <c r="G57" s="33">
        <v>800</v>
      </c>
      <c r="H57" s="13" t="s">
        <v>81</v>
      </c>
      <c r="I57" s="9"/>
    </row>
    <row r="58" spans="2:9" ht="16.2">
      <c r="B58" s="9"/>
      <c r="C58" s="13" t="s">
        <v>115</v>
      </c>
      <c r="D58" s="18" t="s">
        <v>93</v>
      </c>
      <c r="E58" s="32">
        <v>45690</v>
      </c>
      <c r="F58" s="13" t="str">
        <f>SUBSTITUTE(réglement[[#This Row],[N° de facture]],"F","R")</f>
        <v>R-020</v>
      </c>
      <c r="G58" s="33">
        <v>2000</v>
      </c>
      <c r="H58" s="13" t="s">
        <v>81</v>
      </c>
      <c r="I58" s="9"/>
    </row>
    <row r="59" spans="2:9" ht="16.2">
      <c r="B59" s="9"/>
      <c r="C59" s="13" t="s">
        <v>114</v>
      </c>
      <c r="D59" s="18" t="s">
        <v>91</v>
      </c>
      <c r="E59" s="32">
        <v>45787</v>
      </c>
      <c r="F59" s="13" t="str">
        <f>SUBSTITUTE(réglement[[#This Row],[N° de facture]],"F","R")</f>
        <v>R-019</v>
      </c>
      <c r="G59" s="33">
        <v>100</v>
      </c>
      <c r="H59" s="13" t="s">
        <v>81</v>
      </c>
      <c r="I59" s="9"/>
    </row>
    <row r="60" spans="2:9" ht="16.2">
      <c r="B60" s="9"/>
      <c r="C60" s="13" t="s">
        <v>113</v>
      </c>
      <c r="D60" s="18" t="s">
        <v>85</v>
      </c>
      <c r="E60" s="32">
        <v>45781</v>
      </c>
      <c r="F60" s="13" t="str">
        <f>SUBSTITUTE(réglement[[#This Row],[N° de facture]],"F","R")</f>
        <v>R-018</v>
      </c>
      <c r="G60" s="33">
        <v>450</v>
      </c>
      <c r="H60" s="13" t="s">
        <v>82</v>
      </c>
      <c r="I60" s="9"/>
    </row>
    <row r="61" spans="2:9" ht="16.2">
      <c r="B61" s="9"/>
      <c r="C61" s="13" t="s">
        <v>112</v>
      </c>
      <c r="D61" s="18" t="s">
        <v>93</v>
      </c>
      <c r="E61" s="32">
        <v>45751</v>
      </c>
      <c r="F61" s="13" t="str">
        <f>SUBSTITUTE(réglement[[#This Row],[N° de facture]],"F","R")</f>
        <v>R-017</v>
      </c>
      <c r="G61" s="33">
        <v>150</v>
      </c>
      <c r="H61" s="13" t="s">
        <v>82</v>
      </c>
      <c r="I61" s="9"/>
    </row>
    <row r="62" spans="2:9" ht="16.2">
      <c r="B62" s="9"/>
      <c r="C62" s="13" t="s">
        <v>111</v>
      </c>
      <c r="D62" s="18" t="s">
        <v>99</v>
      </c>
      <c r="E62" s="32">
        <v>45649</v>
      </c>
      <c r="F62" s="13" t="str">
        <f>SUBSTITUTE(réglement[[#This Row],[N° de facture]],"F","R")</f>
        <v>R-016</v>
      </c>
      <c r="G62" s="33">
        <v>400</v>
      </c>
      <c r="H62" s="13" t="s">
        <v>82</v>
      </c>
      <c r="I62" s="9"/>
    </row>
    <row r="63" spans="2:9" ht="16.2">
      <c r="B63" s="9"/>
      <c r="C63" s="13" t="s">
        <v>110</v>
      </c>
      <c r="D63" s="18" t="s">
        <v>91</v>
      </c>
      <c r="E63" s="32">
        <v>45719</v>
      </c>
      <c r="F63" s="13" t="str">
        <f>SUBSTITUTE(réglement[[#This Row],[N° de facture]],"F","R")</f>
        <v>R-015</v>
      </c>
      <c r="G63" s="33">
        <v>600</v>
      </c>
      <c r="H63" s="13" t="s">
        <v>82</v>
      </c>
      <c r="I63" s="9"/>
    </row>
    <row r="64" spans="2:9" ht="16.2">
      <c r="B64" s="9"/>
      <c r="C64" s="13" t="s">
        <v>109</v>
      </c>
      <c r="D64" s="18" t="s">
        <v>87</v>
      </c>
      <c r="E64" s="32">
        <v>45651</v>
      </c>
      <c r="F64" s="13" t="str">
        <f>SUBSTITUTE(réglement[[#This Row],[N° de facture]],"F","R")</f>
        <v>R-014</v>
      </c>
      <c r="G64" s="33">
        <v>200</v>
      </c>
      <c r="H64" s="13" t="s">
        <v>82</v>
      </c>
      <c r="I64" s="9"/>
    </row>
    <row r="65" spans="2:9" ht="16.2">
      <c r="B65" s="9"/>
      <c r="C65" s="13" t="s">
        <v>108</v>
      </c>
      <c r="D65" s="18" t="s">
        <v>89</v>
      </c>
      <c r="E65" s="32">
        <v>45656</v>
      </c>
      <c r="F65" s="13" t="str">
        <f>SUBSTITUTE(réglement[[#This Row],[N° de facture]],"F","R")</f>
        <v>R-013</v>
      </c>
      <c r="G65" s="33">
        <v>300</v>
      </c>
      <c r="H65" s="13" t="s">
        <v>82</v>
      </c>
      <c r="I65" s="9"/>
    </row>
    <row r="66" spans="2:9" ht="16.2">
      <c r="B66" s="9"/>
      <c r="C66" s="13" t="s">
        <v>107</v>
      </c>
      <c r="D66" s="18" t="s">
        <v>86</v>
      </c>
      <c r="E66" s="32">
        <v>45677</v>
      </c>
      <c r="F66" s="13" t="str">
        <f>SUBSTITUTE(réglement[[#This Row],[N° de facture]],"F","R")</f>
        <v>R-012</v>
      </c>
      <c r="G66" s="33">
        <v>1000</v>
      </c>
      <c r="H66" s="13" t="s">
        <v>80</v>
      </c>
      <c r="I66" s="9"/>
    </row>
    <row r="67" spans="2:9" ht="16.2">
      <c r="B67" s="9"/>
      <c r="C67" s="13" t="s">
        <v>106</v>
      </c>
      <c r="D67" s="18" t="s">
        <v>96</v>
      </c>
      <c r="E67" s="32">
        <v>45689</v>
      </c>
      <c r="F67" s="13" t="str">
        <f>SUBSTITUTE(réglement[[#This Row],[N° de facture]],"F","R")</f>
        <v>R-011</v>
      </c>
      <c r="G67" s="33">
        <v>600</v>
      </c>
      <c r="H67" s="13" t="s">
        <v>80</v>
      </c>
      <c r="I67" s="9"/>
    </row>
    <row r="68" spans="2:9" ht="16.2">
      <c r="B68" s="9"/>
      <c r="C68" s="13" t="s">
        <v>105</v>
      </c>
      <c r="D68" s="18" t="s">
        <v>94</v>
      </c>
      <c r="E68" s="32">
        <v>45750</v>
      </c>
      <c r="F68" s="13" t="str">
        <f>SUBSTITUTE(réglement[[#This Row],[N° de facture]],"F","R")</f>
        <v>R-010</v>
      </c>
      <c r="G68" s="33">
        <v>1000</v>
      </c>
      <c r="H68" s="13" t="s">
        <v>80</v>
      </c>
      <c r="I68" s="9"/>
    </row>
    <row r="69" spans="2:9" ht="16.2">
      <c r="B69" s="9"/>
      <c r="C69" s="13" t="s">
        <v>104</v>
      </c>
      <c r="D69" s="18" t="s">
        <v>97</v>
      </c>
      <c r="E69" s="32">
        <v>45719</v>
      </c>
      <c r="F69" s="13" t="str">
        <f>SUBSTITUTE(réglement[[#This Row],[N° de facture]],"F","R")</f>
        <v>R-009</v>
      </c>
      <c r="G69" s="33">
        <v>1300</v>
      </c>
      <c r="H69" s="13" t="s">
        <v>81</v>
      </c>
      <c r="I69" s="9"/>
    </row>
    <row r="70" spans="2:9" ht="16.2">
      <c r="B70" s="9"/>
      <c r="C70" s="13" t="s">
        <v>103</v>
      </c>
      <c r="D70" s="18" t="s">
        <v>92</v>
      </c>
      <c r="E70" s="32">
        <v>45787</v>
      </c>
      <c r="F70" s="13" t="str">
        <f>SUBSTITUTE(réglement[[#This Row],[N° de facture]],"F","R")</f>
        <v>R-008</v>
      </c>
      <c r="G70" s="33">
        <v>400</v>
      </c>
      <c r="H70" s="13" t="s">
        <v>81</v>
      </c>
      <c r="I70" s="9"/>
    </row>
    <row r="71" spans="2:9" ht="16.2">
      <c r="B71" s="9"/>
      <c r="C71" s="13" t="s">
        <v>102</v>
      </c>
      <c r="D71" s="18" t="s">
        <v>85</v>
      </c>
      <c r="E71" s="32">
        <v>45781</v>
      </c>
      <c r="F71" s="13" t="str">
        <f>SUBSTITUTE(réglement[[#This Row],[N° de facture]],"F","R")</f>
        <v>R-007</v>
      </c>
      <c r="G71" s="33">
        <v>2000</v>
      </c>
      <c r="H71" s="13" t="s">
        <v>81</v>
      </c>
      <c r="I71" s="9"/>
    </row>
    <row r="72" spans="2:9" ht="16.2">
      <c r="B72" s="9"/>
      <c r="C72" s="13" t="s">
        <v>101</v>
      </c>
      <c r="D72" s="18" t="s">
        <v>90</v>
      </c>
      <c r="E72" s="32">
        <v>45787</v>
      </c>
      <c r="F72" s="13" t="str">
        <f>SUBSTITUTE(réglement[[#This Row],[N° de facture]],"F","R")</f>
        <v>R-006</v>
      </c>
      <c r="G72" s="33">
        <v>1000</v>
      </c>
      <c r="H72" s="13" t="s">
        <v>81</v>
      </c>
      <c r="I72" s="9"/>
    </row>
    <row r="73" spans="2:9" ht="16.2">
      <c r="B73" s="9"/>
      <c r="C73" s="13" t="s">
        <v>100</v>
      </c>
      <c r="D73" s="18" t="s">
        <v>87</v>
      </c>
      <c r="E73" s="32">
        <v>45787</v>
      </c>
      <c r="F73" s="13" t="str">
        <f>SUBSTITUTE(réglement[[#This Row],[N° de facture]],"F","R")</f>
        <v>R-005</v>
      </c>
      <c r="G73" s="33">
        <v>1500</v>
      </c>
      <c r="H73" s="13" t="s">
        <v>81</v>
      </c>
      <c r="I73" s="9"/>
    </row>
    <row r="74" spans="2:9" ht="16.2">
      <c r="B74" s="9"/>
      <c r="C74" s="13" t="s">
        <v>84</v>
      </c>
      <c r="D74" s="18" t="s">
        <v>91</v>
      </c>
      <c r="E74" s="32">
        <v>45787</v>
      </c>
      <c r="F74" s="13" t="str">
        <f>SUBSTITUTE(réglement[[#This Row],[N° de facture]],"F","R")</f>
        <v>R-004</v>
      </c>
      <c r="G74" s="33">
        <v>200</v>
      </c>
      <c r="H74" s="13" t="s">
        <v>81</v>
      </c>
      <c r="I74" s="9"/>
    </row>
    <row r="75" spans="2:9" ht="16.2">
      <c r="B75" s="9"/>
      <c r="C75" s="13" t="s">
        <v>69</v>
      </c>
      <c r="D75" s="18" t="s">
        <v>89</v>
      </c>
      <c r="E75" s="32">
        <v>45727</v>
      </c>
      <c r="F75" s="13" t="str">
        <f>SUBSTITUTE(réglement[[#This Row],[N° de facture]],"F","R")</f>
        <v>R-003</v>
      </c>
      <c r="G75" s="34">
        <v>250</v>
      </c>
      <c r="H75" s="13" t="s">
        <v>81</v>
      </c>
      <c r="I75" s="9"/>
    </row>
    <row r="76" spans="2:9" ht="16.2">
      <c r="B76" s="9"/>
      <c r="C76" s="13" t="s">
        <v>68</v>
      </c>
      <c r="D76" s="18" t="s">
        <v>93</v>
      </c>
      <c r="E76" s="32">
        <v>45700</v>
      </c>
      <c r="F76" s="13" t="str">
        <f>SUBSTITUTE(réglement[[#This Row],[N° de facture]],"F","R")</f>
        <v>R-002</v>
      </c>
      <c r="G76" s="34">
        <v>450</v>
      </c>
      <c r="H76" s="13" t="s">
        <v>81</v>
      </c>
      <c r="I76" s="9"/>
    </row>
    <row r="77" spans="2:9" ht="16.2">
      <c r="B77" s="9"/>
      <c r="C77" s="13" t="s">
        <v>67</v>
      </c>
      <c r="D77" s="18" t="s">
        <v>86</v>
      </c>
      <c r="E77" s="32">
        <v>45701</v>
      </c>
      <c r="F77" s="13" t="str">
        <f>SUBSTITUTE(réglement[[#This Row],[N° de facture]],"F","R")</f>
        <v>R-001</v>
      </c>
      <c r="G77" s="34">
        <v>720</v>
      </c>
      <c r="H77" s="13" t="s">
        <v>81</v>
      </c>
      <c r="I77" s="9"/>
    </row>
    <row r="78" spans="2:9">
      <c r="B78" s="9"/>
      <c r="C78" s="13"/>
      <c r="D78" s="9"/>
      <c r="E78" s="25"/>
      <c r="F78" s="9"/>
      <c r="G78" s="20"/>
      <c r="H78" s="9"/>
      <c r="I78" s="9"/>
    </row>
    <row r="79" spans="2:9">
      <c r="B79" s="9"/>
      <c r="C79" s="13"/>
      <c r="D79" s="9"/>
      <c r="E79" s="25"/>
      <c r="F79" s="9"/>
      <c r="G79" s="20"/>
      <c r="H79" s="9"/>
      <c r="I79" s="9"/>
    </row>
    <row r="80" spans="2:9">
      <c r="B80" s="9"/>
      <c r="C80" s="13"/>
      <c r="D80" s="9"/>
      <c r="E80" s="25"/>
      <c r="F80" s="9"/>
      <c r="G80" s="20"/>
      <c r="H80" s="9"/>
      <c r="I80" s="9"/>
    </row>
    <row r="81" spans="2:9">
      <c r="B81" s="9"/>
      <c r="C81" s="13"/>
      <c r="D81" s="9"/>
      <c r="E81" s="25"/>
      <c r="F81" s="9"/>
      <c r="G81" s="20"/>
      <c r="H81" s="9"/>
      <c r="I81" s="9"/>
    </row>
    <row r="82" spans="2:9">
      <c r="B82" s="9"/>
      <c r="C82" s="13"/>
      <c r="D82" s="9"/>
      <c r="E82" s="25"/>
      <c r="F82" s="9"/>
      <c r="G82" s="20"/>
      <c r="H82" s="9"/>
      <c r="I82" s="9"/>
    </row>
    <row r="83" spans="2:9">
      <c r="B83" s="9"/>
      <c r="C83" s="13"/>
      <c r="D83" s="9"/>
      <c r="E83" s="25"/>
      <c r="F83" s="9"/>
      <c r="G83" s="20"/>
      <c r="H83" s="9"/>
      <c r="I83" s="9"/>
    </row>
    <row r="84" spans="2:9">
      <c r="B84" s="9"/>
      <c r="C84" s="13"/>
      <c r="D84" s="9"/>
      <c r="E84" s="25"/>
      <c r="F84" s="9"/>
      <c r="G84" s="20"/>
      <c r="H84" s="9"/>
      <c r="I84" s="9"/>
    </row>
    <row r="85" spans="2:9">
      <c r="B85" s="9"/>
      <c r="C85" s="13"/>
      <c r="D85" s="9"/>
      <c r="E85" s="25"/>
      <c r="F85" s="9"/>
      <c r="G85" s="20"/>
      <c r="H85" s="9"/>
      <c r="I85" s="9"/>
    </row>
    <row r="86" spans="2:9">
      <c r="B86" s="9"/>
      <c r="C86" s="13"/>
      <c r="D86" s="9"/>
      <c r="E86" s="25"/>
      <c r="F86" s="9"/>
      <c r="G86" s="20"/>
      <c r="H86" s="9"/>
      <c r="I86" s="9"/>
    </row>
    <row r="87" spans="2:9">
      <c r="B87" s="9"/>
      <c r="C87" s="13"/>
      <c r="D87" s="9"/>
      <c r="E87" s="25"/>
      <c r="F87" s="9"/>
      <c r="G87" s="20"/>
      <c r="H87" s="9"/>
      <c r="I87" s="9"/>
    </row>
    <row r="88" spans="2:9">
      <c r="B88" s="9"/>
      <c r="C88" s="13"/>
      <c r="D88" s="9"/>
      <c r="E88" s="25"/>
      <c r="F88" s="9"/>
      <c r="G88" s="20"/>
      <c r="H88" s="9"/>
      <c r="I88" s="9"/>
    </row>
    <row r="89" spans="2:9">
      <c r="B89" s="9"/>
      <c r="C89" s="13"/>
      <c r="D89" s="9"/>
      <c r="E89" s="25"/>
      <c r="F89" s="9"/>
      <c r="G89" s="20"/>
      <c r="H89" s="9"/>
      <c r="I89" s="9"/>
    </row>
    <row r="90" spans="2:9">
      <c r="B90" s="9"/>
      <c r="C90" s="13"/>
      <c r="D90" s="9"/>
      <c r="E90" s="25"/>
      <c r="F90" s="9"/>
      <c r="G90" s="20"/>
      <c r="H90" s="9"/>
      <c r="I90" s="9"/>
    </row>
    <row r="91" spans="2:9">
      <c r="B91" s="9"/>
      <c r="C91" s="13"/>
      <c r="D91" s="9"/>
      <c r="E91" s="25"/>
      <c r="F91" s="9"/>
      <c r="G91" s="20"/>
      <c r="H91" s="9"/>
      <c r="I91" s="9"/>
    </row>
    <row r="92" spans="2:9">
      <c r="B92" s="9"/>
      <c r="C92" s="13"/>
      <c r="D92" s="9"/>
      <c r="E92" s="25"/>
      <c r="F92" s="9"/>
      <c r="G92" s="20"/>
      <c r="H92" s="9"/>
      <c r="I92" s="9"/>
    </row>
    <row r="93" spans="2:9">
      <c r="B93" s="9"/>
      <c r="C93" s="13"/>
      <c r="D93" s="9"/>
      <c r="E93" s="25"/>
      <c r="F93" s="9"/>
      <c r="G93" s="20"/>
      <c r="H93" s="9"/>
      <c r="I93" s="9"/>
    </row>
    <row r="94" spans="2:9">
      <c r="B94" s="9"/>
      <c r="C94" s="13"/>
      <c r="D94" s="9"/>
      <c r="E94" s="25"/>
      <c r="F94" s="9"/>
      <c r="G94" s="20"/>
      <c r="H94" s="9"/>
      <c r="I94" s="9"/>
    </row>
    <row r="95" spans="2:9">
      <c r="B95" s="9"/>
      <c r="C95" s="13"/>
      <c r="D95" s="9"/>
      <c r="E95" s="25"/>
      <c r="F95" s="9"/>
      <c r="G95" s="20"/>
      <c r="H95" s="9"/>
      <c r="I95" s="9"/>
    </row>
    <row r="96" spans="2:9">
      <c r="B96" s="9"/>
      <c r="C96" s="13"/>
      <c r="D96" s="9"/>
      <c r="E96" s="25"/>
      <c r="F96" s="9"/>
      <c r="G96" s="20"/>
      <c r="H96" s="9"/>
      <c r="I96" s="9"/>
    </row>
    <row r="97" spans="2:9">
      <c r="B97" s="9"/>
      <c r="C97" s="13"/>
      <c r="D97" s="9"/>
      <c r="E97" s="25"/>
      <c r="F97" s="9"/>
      <c r="G97" s="20"/>
      <c r="H97" s="9"/>
      <c r="I97" s="9"/>
    </row>
    <row r="98" spans="2:9">
      <c r="B98" s="9"/>
      <c r="C98" s="13"/>
      <c r="D98" s="9"/>
      <c r="E98" s="25"/>
      <c r="F98" s="9"/>
      <c r="G98" s="20"/>
      <c r="H98" s="9"/>
      <c r="I98" s="9"/>
    </row>
    <row r="99" spans="2:9">
      <c r="B99" s="9"/>
      <c r="C99" s="13"/>
      <c r="D99" s="9"/>
      <c r="E99" s="25"/>
      <c r="F99" s="9"/>
      <c r="G99" s="20"/>
      <c r="H99" s="9"/>
      <c r="I99" s="9"/>
    </row>
    <row r="100" spans="2:9">
      <c r="B100" s="9"/>
      <c r="C100" s="13"/>
      <c r="D100" s="9"/>
      <c r="E100" s="25"/>
      <c r="F100" s="9"/>
      <c r="G100" s="20"/>
      <c r="H100" s="9"/>
      <c r="I100" s="9"/>
    </row>
    <row r="101" spans="2:9">
      <c r="B101" s="9"/>
      <c r="C101" s="13"/>
      <c r="D101" s="9"/>
      <c r="E101" s="25"/>
      <c r="F101" s="9"/>
      <c r="G101" s="20"/>
      <c r="H101" s="9"/>
      <c r="I101" s="9"/>
    </row>
    <row r="102" spans="2:9">
      <c r="B102" s="9"/>
      <c r="C102" s="13"/>
      <c r="D102" s="9"/>
      <c r="E102" s="25"/>
      <c r="F102" s="9"/>
      <c r="G102" s="20"/>
      <c r="H102" s="9"/>
      <c r="I102" s="9"/>
    </row>
    <row r="103" spans="2:9">
      <c r="B103" s="9"/>
      <c r="C103" s="13"/>
      <c r="D103" s="9"/>
      <c r="E103" s="25"/>
      <c r="F103" s="9"/>
      <c r="G103" s="20"/>
      <c r="H103" s="9"/>
      <c r="I103" s="9"/>
    </row>
    <row r="104" spans="2:9">
      <c r="B104" s="9"/>
      <c r="C104" s="13"/>
      <c r="D104" s="9"/>
      <c r="E104" s="25"/>
      <c r="F104" s="9"/>
      <c r="G104" s="20"/>
      <c r="H104" s="9"/>
      <c r="I104" s="9"/>
    </row>
    <row r="105" spans="2:9">
      <c r="B105" s="9"/>
      <c r="C105" s="13"/>
      <c r="D105" s="9"/>
      <c r="E105" s="25"/>
      <c r="F105" s="9"/>
      <c r="G105" s="20"/>
      <c r="H105" s="9"/>
      <c r="I105" s="9"/>
    </row>
    <row r="106" spans="2:9">
      <c r="B106" s="9"/>
      <c r="C106" s="13"/>
      <c r="D106" s="9"/>
      <c r="E106" s="25"/>
      <c r="F106" s="9"/>
      <c r="G106" s="20"/>
      <c r="H106" s="9"/>
      <c r="I106" s="9"/>
    </row>
    <row r="107" spans="2:9">
      <c r="B107" s="9"/>
      <c r="C107" s="13"/>
      <c r="D107" s="9"/>
      <c r="E107" s="25"/>
      <c r="F107" s="9"/>
      <c r="G107" s="20"/>
      <c r="H107" s="9"/>
      <c r="I107" s="9"/>
    </row>
    <row r="108" spans="2:9">
      <c r="B108" s="9"/>
      <c r="C108" s="13"/>
      <c r="D108" s="9"/>
      <c r="E108" s="25"/>
      <c r="F108" s="9"/>
      <c r="G108" s="20"/>
      <c r="H108" s="9"/>
      <c r="I108" s="9"/>
    </row>
    <row r="109" spans="2:9">
      <c r="B109" s="9"/>
      <c r="C109" s="13"/>
      <c r="D109" s="9"/>
      <c r="E109" s="25"/>
      <c r="F109" s="9"/>
      <c r="G109" s="20"/>
      <c r="H109" s="9"/>
      <c r="I109" s="9"/>
    </row>
    <row r="110" spans="2:9">
      <c r="B110" s="9"/>
      <c r="C110" s="13"/>
      <c r="D110" s="9"/>
      <c r="E110" s="25"/>
      <c r="F110" s="9"/>
      <c r="G110" s="20"/>
      <c r="H110" s="9"/>
      <c r="I110" s="9"/>
    </row>
    <row r="111" spans="2:9">
      <c r="B111" s="9"/>
      <c r="C111" s="13"/>
      <c r="D111" s="9"/>
      <c r="E111" s="25"/>
      <c r="F111" s="9"/>
      <c r="G111" s="20"/>
      <c r="H111" s="9"/>
      <c r="I111" s="9"/>
    </row>
    <row r="112" spans="2:9">
      <c r="B112" s="9"/>
      <c r="C112" s="13"/>
      <c r="D112" s="9"/>
      <c r="E112" s="25"/>
      <c r="F112" s="9"/>
      <c r="G112" s="20"/>
      <c r="H112" s="9"/>
      <c r="I112" s="9"/>
    </row>
    <row r="113" spans="2:9">
      <c r="B113" s="9"/>
      <c r="C113" s="13"/>
      <c r="D113" s="9"/>
      <c r="E113" s="25"/>
      <c r="F113" s="9"/>
      <c r="G113" s="20"/>
      <c r="H113" s="9"/>
      <c r="I113" s="9"/>
    </row>
    <row r="114" spans="2:9">
      <c r="B114" s="9"/>
      <c r="C114" s="13"/>
      <c r="D114" s="9"/>
      <c r="E114" s="25"/>
      <c r="F114" s="9"/>
      <c r="G114" s="20"/>
      <c r="H114" s="9"/>
      <c r="I114" s="9"/>
    </row>
    <row r="115" spans="2:9">
      <c r="B115" s="9"/>
      <c r="C115" s="13"/>
      <c r="D115" s="9"/>
      <c r="E115" s="25"/>
      <c r="F115" s="9"/>
      <c r="G115" s="20"/>
      <c r="H115" s="9"/>
      <c r="I115" s="9"/>
    </row>
    <row r="116" spans="2:9">
      <c r="B116" s="9"/>
      <c r="C116" s="13"/>
      <c r="D116" s="9"/>
      <c r="E116" s="25"/>
      <c r="F116" s="9"/>
      <c r="G116" s="20"/>
      <c r="H116" s="9"/>
      <c r="I116" s="9"/>
    </row>
    <row r="117" spans="2:9">
      <c r="B117" s="9"/>
      <c r="C117" s="13"/>
      <c r="D117" s="9"/>
      <c r="E117" s="25"/>
      <c r="F117" s="9"/>
      <c r="G117" s="20"/>
      <c r="H117" s="9"/>
      <c r="I117" s="9"/>
    </row>
    <row r="118" spans="2:9">
      <c r="B118" s="9"/>
      <c r="C118" s="13"/>
      <c r="D118" s="9"/>
      <c r="E118" s="25"/>
      <c r="F118" s="9"/>
      <c r="G118" s="20"/>
      <c r="H118" s="9"/>
      <c r="I118" s="9"/>
    </row>
    <row r="119" spans="2:9">
      <c r="B119" s="9"/>
      <c r="C119" s="13"/>
      <c r="D119" s="9"/>
      <c r="E119" s="25"/>
      <c r="F119" s="9"/>
      <c r="G119" s="20"/>
      <c r="H119" s="9"/>
      <c r="I119" s="9"/>
    </row>
    <row r="120" spans="2:9">
      <c r="B120" s="9"/>
      <c r="C120" s="13"/>
      <c r="D120" s="9"/>
      <c r="E120" s="25"/>
      <c r="F120" s="9"/>
      <c r="G120" s="20"/>
      <c r="H120" s="9"/>
      <c r="I120" s="9"/>
    </row>
    <row r="121" spans="2:9">
      <c r="B121" s="9"/>
      <c r="C121" s="13"/>
      <c r="D121" s="9"/>
      <c r="E121" s="25"/>
      <c r="F121" s="9"/>
      <c r="G121" s="20"/>
      <c r="H121" s="9"/>
      <c r="I121" s="9"/>
    </row>
    <row r="122" spans="2:9">
      <c r="B122" s="9"/>
      <c r="C122" s="13"/>
      <c r="D122" s="9"/>
      <c r="E122" s="25"/>
      <c r="F122" s="9"/>
      <c r="G122" s="20"/>
      <c r="H122" s="9"/>
      <c r="I122" s="9"/>
    </row>
    <row r="123" spans="2:9">
      <c r="B123" s="9"/>
      <c r="C123" s="13"/>
      <c r="D123" s="9"/>
      <c r="E123" s="25"/>
      <c r="F123" s="9"/>
      <c r="G123" s="20"/>
      <c r="H123" s="9"/>
      <c r="I123" s="9"/>
    </row>
  </sheetData>
  <mergeCells count="3">
    <mergeCell ref="C5:D5"/>
    <mergeCell ref="C6:F6"/>
    <mergeCell ref="C16:D16"/>
  </mergeCells>
  <phoneticPr fontId="10" type="noConversion"/>
  <dataValidations count="1">
    <dataValidation type="list" allowBlank="1" showInputMessage="1" showErrorMessage="1" sqref="F11" xr:uid="{59772C92-50B0-4C4D-96FE-B21E03C4B50D}">
      <formula1>"chèque,espèce,virement"</formula1>
    </dataValidation>
  </dataValidations>
  <pageMargins left="0.7" right="0.7" top="0.75" bottom="0.75" header="0.3" footer="0.3"/>
  <ignoredErrors>
    <ignoredError sqref="F35:F38 F20:F34" calculatedColumn="1"/>
  </ignoredErrors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Paramètres</vt:lpstr>
      <vt:lpstr>Créance</vt:lpstr>
      <vt:lpstr>Réglement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anass ez-zouazi</dc:creator>
  <cp:lastModifiedBy>anass ez-zouazi</cp:lastModifiedBy>
  <dcterms:created xsi:type="dcterms:W3CDTF">2025-01-19T21:19:06Z</dcterms:created>
  <dcterms:modified xsi:type="dcterms:W3CDTF">2025-02-23T16:55:45Z</dcterms:modified>
</cp:coreProperties>
</file>