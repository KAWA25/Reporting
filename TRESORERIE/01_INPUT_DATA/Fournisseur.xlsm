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ower bi projets\"/>
    </mc:Choice>
  </mc:AlternateContent>
  <xr:revisionPtr revIDLastSave="0" documentId="13_ncr:1_{EF4BBA84-284E-43AD-8DD4-693233EEE856}" xr6:coauthVersionLast="47" xr6:coauthVersionMax="47" xr10:uidLastSave="{00000000-0000-0000-0000-000000000000}"/>
  <bookViews>
    <workbookView xWindow="-108" yWindow="-108" windowWidth="23256" windowHeight="12456" activeTab="2" xr2:uid="{F0085334-C5B5-4998-AEAB-5A1FDEB66204}"/>
  </bookViews>
  <sheets>
    <sheet name="Paramètres" sheetId="1" r:id="rId1"/>
    <sheet name="Dette" sheetId="2" r:id="rId2"/>
    <sheet name="Réglement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" l="1"/>
  <c r="I14" i="2"/>
  <c r="J14" i="2" s="1"/>
  <c r="L14" i="2" s="1"/>
  <c r="M14" i="2" s="1"/>
  <c r="K14" i="2"/>
  <c r="I15" i="2"/>
  <c r="J15" i="2" s="1"/>
  <c r="K15" i="2"/>
  <c r="I16" i="2"/>
  <c r="J16" i="2" s="1"/>
  <c r="L16" i="2" s="1"/>
  <c r="M16" i="2" s="1"/>
  <c r="K16" i="2"/>
  <c r="I17" i="2"/>
  <c r="J17" i="2" s="1"/>
  <c r="K17" i="2"/>
  <c r="I18" i="2"/>
  <c r="J18" i="2" s="1"/>
  <c r="L18" i="2" s="1"/>
  <c r="M18" i="2" s="1"/>
  <c r="K18" i="2"/>
  <c r="I19" i="2"/>
  <c r="J19" i="2" s="1"/>
  <c r="K19" i="2"/>
  <c r="I20" i="2"/>
  <c r="J20" i="2" s="1"/>
  <c r="L20" i="2" s="1"/>
  <c r="M20" i="2" s="1"/>
  <c r="K20" i="2"/>
  <c r="I21" i="2"/>
  <c r="J21" i="2" s="1"/>
  <c r="K21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34" i="2"/>
  <c r="I35" i="2"/>
  <c r="I36" i="2"/>
  <c r="I37" i="2"/>
  <c r="I38" i="2"/>
  <c r="I39" i="2"/>
  <c r="I40" i="2"/>
  <c r="I41" i="2"/>
  <c r="I42" i="2"/>
  <c r="I43" i="2"/>
  <c r="I44" i="2"/>
  <c r="I45" i="2"/>
  <c r="I26" i="2"/>
  <c r="I27" i="2"/>
  <c r="I28" i="2"/>
  <c r="I29" i="2"/>
  <c r="I30" i="2"/>
  <c r="I31" i="2"/>
  <c r="I32" i="2"/>
  <c r="I33" i="2"/>
  <c r="I23" i="2"/>
  <c r="I24" i="2"/>
  <c r="I25" i="2"/>
  <c r="I22" i="2"/>
  <c r="J22" i="2" s="1"/>
  <c r="K22" i="2"/>
  <c r="L15" i="2" l="1"/>
  <c r="M15" i="2" s="1"/>
  <c r="L17" i="2"/>
  <c r="M17" i="2" s="1"/>
  <c r="L19" i="2"/>
  <c r="M19" i="2" s="1"/>
  <c r="L21" i="2"/>
  <c r="M21" i="2" s="1"/>
  <c r="L22" i="2"/>
  <c r="M22" i="2" s="1"/>
  <c r="J23" i="2" l="1"/>
  <c r="K23" i="2"/>
  <c r="L23" i="2"/>
  <c r="M23" i="2" s="1"/>
  <c r="J25" i="2"/>
  <c r="L25" i="2" s="1"/>
  <c r="M25" i="2" s="1"/>
  <c r="K25" i="2"/>
  <c r="J26" i="2"/>
  <c r="K26" i="2"/>
  <c r="J27" i="2"/>
  <c r="K27" i="2"/>
  <c r="J28" i="2"/>
  <c r="K28" i="2"/>
  <c r="J29" i="2"/>
  <c r="K29" i="2"/>
  <c r="J30" i="2"/>
  <c r="K30" i="2"/>
  <c r="J32" i="2"/>
  <c r="K32" i="2"/>
  <c r="J33" i="2"/>
  <c r="K33" i="2"/>
  <c r="J24" i="2"/>
  <c r="K24" i="2"/>
  <c r="J31" i="2"/>
  <c r="K31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35" i="2"/>
  <c r="K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L70" i="2" s="1"/>
  <c r="M70" i="2" s="1"/>
  <c r="J71" i="2"/>
  <c r="L71" i="2" s="1"/>
  <c r="M71" i="2" s="1"/>
  <c r="J72" i="2"/>
  <c r="L72" i="2" s="1"/>
  <c r="M72" i="2" s="1"/>
  <c r="J73" i="2"/>
  <c r="L73" i="2" s="1"/>
  <c r="M73" i="2" s="1"/>
  <c r="J74" i="2"/>
  <c r="L74" i="2" s="1"/>
  <c r="M74" i="2" s="1"/>
  <c r="J75" i="2"/>
  <c r="L75" i="2" s="1"/>
  <c r="M75" i="2" s="1"/>
  <c r="J76" i="2"/>
  <c r="L76" i="2" s="1"/>
  <c r="M76" i="2" s="1"/>
  <c r="J77" i="2"/>
  <c r="L77" i="2" s="1"/>
  <c r="M77" i="2" s="1"/>
  <c r="J78" i="2"/>
  <c r="L78" i="2" s="1"/>
  <c r="M78" i="2" s="1"/>
  <c r="J79" i="2"/>
  <c r="L79" i="2" s="1"/>
  <c r="M79" i="2" s="1"/>
  <c r="J80" i="2"/>
  <c r="L80" i="2" s="1"/>
  <c r="M80" i="2" s="1"/>
  <c r="J81" i="2"/>
  <c r="L81" i="2" s="1"/>
  <c r="M81" i="2" s="1"/>
  <c r="J82" i="2"/>
  <c r="J83" i="2"/>
  <c r="J84" i="2"/>
  <c r="J85" i="2"/>
  <c r="L85" i="2" s="1"/>
  <c r="M85" i="2" s="1"/>
  <c r="J86" i="2"/>
  <c r="J87" i="2"/>
  <c r="J34" i="2"/>
  <c r="L86" i="2" l="1"/>
  <c r="M86" i="2" s="1"/>
  <c r="L83" i="2"/>
  <c r="M83" i="2" s="1"/>
  <c r="L87" i="2"/>
  <c r="M87" i="2" s="1"/>
  <c r="L82" i="2"/>
  <c r="M82" i="2" s="1"/>
  <c r="L84" i="2"/>
  <c r="M84" i="2" s="1"/>
  <c r="L33" i="2"/>
  <c r="M33" i="2" s="1"/>
  <c r="L28" i="2"/>
  <c r="M28" i="2" s="1"/>
  <c r="L30" i="2"/>
  <c r="M30" i="2" s="1"/>
  <c r="L26" i="2"/>
  <c r="M26" i="2" s="1"/>
  <c r="L24" i="2"/>
  <c r="L32" i="2"/>
  <c r="M32" i="2" s="1"/>
  <c r="L29" i="2"/>
  <c r="M29" i="2" s="1"/>
  <c r="L27" i="2"/>
  <c r="M27" i="2" s="1"/>
  <c r="L31" i="2"/>
  <c r="M31" i="2" s="1"/>
  <c r="L66" i="2"/>
  <c r="L62" i="2"/>
  <c r="M62" i="2" s="1"/>
  <c r="L58" i="2"/>
  <c r="M58" i="2" s="1"/>
  <c r="L35" i="2"/>
  <c r="M35" i="2" s="1"/>
  <c r="L39" i="2"/>
  <c r="M39" i="2" s="1"/>
  <c r="L68" i="2"/>
  <c r="M68" i="2" s="1"/>
  <c r="L64" i="2"/>
  <c r="M64" i="2" s="1"/>
  <c r="L60" i="2"/>
  <c r="M60" i="2" s="1"/>
  <c r="L56" i="2"/>
  <c r="M56" i="2" s="1"/>
  <c r="L52" i="2"/>
  <c r="M52" i="2" s="1"/>
  <c r="L48" i="2"/>
  <c r="M48" i="2" s="1"/>
  <c r="L44" i="2"/>
  <c r="M44" i="2" s="1"/>
  <c r="L36" i="2"/>
  <c r="M36" i="2" s="1"/>
  <c r="L65" i="2"/>
  <c r="L53" i="2"/>
  <c r="M53" i="2" s="1"/>
  <c r="L49" i="2"/>
  <c r="M49" i="2" s="1"/>
  <c r="L37" i="2"/>
  <c r="M37" i="2" s="1"/>
  <c r="L69" i="2"/>
  <c r="M69" i="2" s="1"/>
  <c r="L57" i="2"/>
  <c r="M57" i="2" s="1"/>
  <c r="L45" i="2"/>
  <c r="M45" i="2" s="1"/>
  <c r="L41" i="2"/>
  <c r="M41" i="2" s="1"/>
  <c r="L34" i="2"/>
  <c r="M34" i="2" s="1"/>
  <c r="L40" i="2"/>
  <c r="M40" i="2" s="1"/>
  <c r="L67" i="2"/>
  <c r="L63" i="2"/>
  <c r="M63" i="2" s="1"/>
  <c r="L59" i="2"/>
  <c r="M59" i="2" s="1"/>
  <c r="L55" i="2"/>
  <c r="M55" i="2" s="1"/>
  <c r="L51" i="2"/>
  <c r="M51" i="2" s="1"/>
  <c r="L47" i="2"/>
  <c r="M47" i="2" s="1"/>
  <c r="L43" i="2"/>
  <c r="M43" i="2" s="1"/>
  <c r="L61" i="2"/>
  <c r="M61" i="2" s="1"/>
  <c r="L54" i="2"/>
  <c r="M54" i="2" s="1"/>
  <c r="L50" i="2"/>
  <c r="M50" i="2" s="1"/>
  <c r="L46" i="2"/>
  <c r="M46" i="2" s="1"/>
  <c r="L42" i="2"/>
  <c r="M42" i="2" s="1"/>
  <c r="L38" i="2"/>
  <c r="M38" i="2" s="1"/>
  <c r="M65" i="2" l="1"/>
  <c r="M66" i="2"/>
  <c r="M67" i="2"/>
  <c r="M24" i="2"/>
  <c r="D9" i="3"/>
  <c r="D10" i="3" l="1"/>
  <c r="D11" i="3" l="1"/>
</calcChain>
</file>

<file path=xl/sharedStrings.xml><?xml version="1.0" encoding="utf-8"?>
<sst xmlns="http://schemas.openxmlformats.org/spreadsheetml/2006/main" count="524" uniqueCount="222">
  <si>
    <t>Nom</t>
  </si>
  <si>
    <t>Catégorie</t>
  </si>
  <si>
    <t>Téléphone</t>
  </si>
  <si>
    <t>Adresse</t>
  </si>
  <si>
    <t>Email</t>
  </si>
  <si>
    <t xml:space="preserve">TechElectro </t>
  </si>
  <si>
    <t>Electronique</t>
  </si>
  <si>
    <t>01 53 06 30 43</t>
  </si>
  <si>
    <t>12, villa Compoint 75017 Paris</t>
  </si>
  <si>
    <t>tech.electro@mail.com</t>
  </si>
  <si>
    <t>ElectroTech</t>
  </si>
  <si>
    <t>01 42 66 68 49</t>
  </si>
  <si>
    <t>10, rue Cambacérès 75008 Paris</t>
  </si>
  <si>
    <t>electro.tech@mail.com</t>
  </si>
  <si>
    <t xml:space="preserve">Electronova </t>
  </si>
  <si>
    <t>01 58 22 17 10</t>
  </si>
  <si>
    <t>BP 65054 31033 Toulouse</t>
  </si>
  <si>
    <t>electronova@mail.com</t>
  </si>
  <si>
    <t xml:space="preserve">ElectroPlus </t>
  </si>
  <si>
    <t>04 72 11 29 99</t>
  </si>
  <si>
    <t>3-5 av. Esquirol 69003 Lyon</t>
  </si>
  <si>
    <t>electroplus@mail.com</t>
  </si>
  <si>
    <t xml:space="preserve">TechPro </t>
  </si>
  <si>
    <t>Informatique</t>
  </si>
  <si>
    <t>01 56 53 51 05</t>
  </si>
  <si>
    <t>14, av. Duquesne 75350 Paris</t>
  </si>
  <si>
    <t>techpro@mail.com</t>
  </si>
  <si>
    <t xml:space="preserve">InfoTech </t>
  </si>
  <si>
    <t>01 41 17 67 18</t>
  </si>
  <si>
    <t>88 av. Verdier 92120 Montrouge</t>
  </si>
  <si>
    <t>infotech@mail.com</t>
  </si>
  <si>
    <t xml:space="preserve">InnoSoft </t>
  </si>
  <si>
    <t>04 77 49 42 42</t>
  </si>
  <si>
    <t>47 rue des Alliés 430 St Etienne</t>
  </si>
  <si>
    <t>innosoft@mail.com</t>
  </si>
  <si>
    <t xml:space="preserve">CyberTech </t>
  </si>
  <si>
    <t>01 49 23 82 52</t>
  </si>
  <si>
    <t>4, av. Duquesne 75350 Paris</t>
  </si>
  <si>
    <t>cybertech@mail.com</t>
  </si>
  <si>
    <t xml:space="preserve">TransLine </t>
  </si>
  <si>
    <t>Transport</t>
  </si>
  <si>
    <t>04 37 90 13 07</t>
  </si>
  <si>
    <t>290 route de Vienne 69355 Lyon</t>
  </si>
  <si>
    <t>transline@mail.com</t>
  </si>
  <si>
    <t>SpeedTrans</t>
  </si>
  <si>
    <t>47 rue des Alliés 2030 St Etienne</t>
  </si>
  <si>
    <t>speedtrans@mail.com</t>
  </si>
  <si>
    <t xml:space="preserve">LogiMove </t>
  </si>
  <si>
    <t>04 77 81 15 15</t>
  </si>
  <si>
    <t xml:space="preserve">41, rue Desaix 75012 Paris </t>
  </si>
  <si>
    <t>logimove@mail.com</t>
  </si>
  <si>
    <t xml:space="preserve">TransExpress </t>
  </si>
  <si>
    <t>transexpress@mail.com</t>
  </si>
  <si>
    <t xml:space="preserve">MainPro </t>
  </si>
  <si>
    <t>Maintenance</t>
  </si>
  <si>
    <t>mainpro@mail.com</t>
  </si>
  <si>
    <t xml:space="preserve">TechCare </t>
  </si>
  <si>
    <t>04 55 26 98 71</t>
  </si>
  <si>
    <t>123 Rue du Paradis, 75001 Paris</t>
  </si>
  <si>
    <t>techcare@mail.com</t>
  </si>
  <si>
    <t xml:space="preserve">FixIt </t>
  </si>
  <si>
    <t>01 24 78 33 20</t>
  </si>
  <si>
    <t>18 Rue Royale, 75008 Paris</t>
  </si>
  <si>
    <t>fixit@mail.com</t>
  </si>
  <si>
    <t xml:space="preserve">MainTech </t>
  </si>
  <si>
    <t>maintech@mail.com</t>
  </si>
  <si>
    <t>N° de facture</t>
  </si>
  <si>
    <t>Référence</t>
  </si>
  <si>
    <t>Fournisseur</t>
  </si>
  <si>
    <t>Date de facture</t>
  </si>
  <si>
    <t>Délai de règlement</t>
  </si>
  <si>
    <t>Montant à payer</t>
  </si>
  <si>
    <t>Montant payé</t>
  </si>
  <si>
    <t>Solde</t>
  </si>
  <si>
    <t>échéance</t>
  </si>
  <si>
    <t>Retard</t>
  </si>
  <si>
    <t>Statut</t>
  </si>
  <si>
    <t>Remarque sur le Fournisseur</t>
  </si>
  <si>
    <r>
      <t xml:space="preserve">Liste des </t>
    </r>
    <r>
      <rPr>
        <b/>
        <sz val="15"/>
        <color rgb="FF009EDE"/>
        <rFont val="Bati"/>
      </rPr>
      <t>Dettes</t>
    </r>
  </si>
  <si>
    <r>
      <t>Nouvelle</t>
    </r>
    <r>
      <rPr>
        <b/>
        <sz val="15"/>
        <color rgb="FF009EDE"/>
        <rFont val="Bati"/>
      </rPr>
      <t xml:space="preserve"> Dette</t>
    </r>
  </si>
  <si>
    <t>F1</t>
  </si>
  <si>
    <r>
      <t>Nouvelle</t>
    </r>
    <r>
      <rPr>
        <b/>
        <sz val="15"/>
        <color rgb="FF009EDE"/>
        <rFont val="Bati"/>
      </rPr>
      <t xml:space="preserve"> Règlement</t>
    </r>
  </si>
  <si>
    <t>Retard(jour)</t>
  </si>
  <si>
    <t>Date de Règlement</t>
  </si>
  <si>
    <t>Mode de Règlement</t>
  </si>
  <si>
    <t>Mode de paiment</t>
  </si>
  <si>
    <t>R1</t>
  </si>
  <si>
    <t>chéque</t>
  </si>
  <si>
    <t>F2</t>
  </si>
  <si>
    <t>F3</t>
  </si>
  <si>
    <t>F4</t>
  </si>
  <si>
    <t>R2</t>
  </si>
  <si>
    <t>espéce</t>
  </si>
  <si>
    <t>R3</t>
  </si>
  <si>
    <t>F5</t>
  </si>
  <si>
    <t>R4</t>
  </si>
  <si>
    <t>R5</t>
  </si>
  <si>
    <t>F45</t>
  </si>
  <si>
    <t>F44</t>
  </si>
  <si>
    <t>F43</t>
  </si>
  <si>
    <t>F46</t>
  </si>
  <si>
    <t>F52</t>
  </si>
  <si>
    <t>F51</t>
  </si>
  <si>
    <t>F50</t>
  </si>
  <si>
    <t>F48</t>
  </si>
  <si>
    <t>F18</t>
  </si>
  <si>
    <t>F42</t>
  </si>
  <si>
    <t>F40</t>
  </si>
  <si>
    <t>F37</t>
  </si>
  <si>
    <t>F17</t>
  </si>
  <si>
    <t>F36</t>
  </si>
  <si>
    <t>F35</t>
  </si>
  <si>
    <t>F39</t>
  </si>
  <si>
    <t>F13</t>
  </si>
  <si>
    <t>F54</t>
  </si>
  <si>
    <t>F20</t>
  </si>
  <si>
    <t>F19</t>
  </si>
  <si>
    <t>F31</t>
  </si>
  <si>
    <t>F7</t>
  </si>
  <si>
    <t>F47</t>
  </si>
  <si>
    <t>F26</t>
  </si>
  <si>
    <t>F32</t>
  </si>
  <si>
    <t>F33</t>
  </si>
  <si>
    <t>F22</t>
  </si>
  <si>
    <t>F49</t>
  </si>
  <si>
    <t>F29</t>
  </si>
  <si>
    <t>F21</t>
  </si>
  <si>
    <t>F15</t>
  </si>
  <si>
    <t>F28</t>
  </si>
  <si>
    <t>F27</t>
  </si>
  <si>
    <t>F55</t>
  </si>
  <si>
    <t>F24</t>
  </si>
  <si>
    <t>F53</t>
  </si>
  <si>
    <t>F41</t>
  </si>
  <si>
    <t>F38</t>
  </si>
  <si>
    <t>F34</t>
  </si>
  <si>
    <t>F30</t>
  </si>
  <si>
    <t>F25</t>
  </si>
  <si>
    <t>F23</t>
  </si>
  <si>
    <t>F16</t>
  </si>
  <si>
    <t>F14</t>
  </si>
  <si>
    <t>F12</t>
  </si>
  <si>
    <t>F11</t>
  </si>
  <si>
    <t>F10</t>
  </si>
  <si>
    <t>F9</t>
  </si>
  <si>
    <t>F8</t>
  </si>
  <si>
    <t>F6</t>
  </si>
  <si>
    <t xml:space="preserve">Délai </t>
  </si>
  <si>
    <t xml:space="preserve">Montant à payer </t>
  </si>
  <si>
    <t>F56</t>
  </si>
  <si>
    <t>F57</t>
  </si>
  <si>
    <t>F58</t>
  </si>
  <si>
    <t>R26</t>
  </si>
  <si>
    <t>Espèce</t>
  </si>
  <si>
    <t>R25</t>
  </si>
  <si>
    <t>Magalie Harold</t>
  </si>
  <si>
    <t>R24</t>
  </si>
  <si>
    <t>Chéque</t>
  </si>
  <si>
    <t>Fedline Joseph</t>
  </si>
  <si>
    <t>R23</t>
  </si>
  <si>
    <t>Senophat Benjamin</t>
  </si>
  <si>
    <t>R22</t>
  </si>
  <si>
    <t>Virement</t>
  </si>
  <si>
    <t>Eddy Luckecy</t>
  </si>
  <si>
    <t>R21</t>
  </si>
  <si>
    <t>R20</t>
  </si>
  <si>
    <t>Olivier Jean-Louis</t>
  </si>
  <si>
    <t>R19</t>
  </si>
  <si>
    <t>Guillaum Thimothe</t>
  </si>
  <si>
    <t>R18</t>
  </si>
  <si>
    <t>Roland Dely</t>
  </si>
  <si>
    <t>R17</t>
  </si>
  <si>
    <t>R16</t>
  </si>
  <si>
    <t>Gracia Cestin</t>
  </si>
  <si>
    <t>R15</t>
  </si>
  <si>
    <t>R14</t>
  </si>
  <si>
    <t>R13</t>
  </si>
  <si>
    <t>R12</t>
  </si>
  <si>
    <t>Anne Marie Marquant</t>
  </si>
  <si>
    <t>R11</t>
  </si>
  <si>
    <t>R10</t>
  </si>
  <si>
    <t>Laurianne Fleur</t>
  </si>
  <si>
    <t>R9</t>
  </si>
  <si>
    <t>R8</t>
  </si>
  <si>
    <t>R7</t>
  </si>
  <si>
    <t>R6</t>
  </si>
  <si>
    <t>Emmanuel Edgardo</t>
  </si>
  <si>
    <t>R0</t>
  </si>
  <si>
    <t>f52</t>
  </si>
  <si>
    <t>R52</t>
  </si>
  <si>
    <t>R56</t>
  </si>
  <si>
    <t>R57</t>
  </si>
  <si>
    <t>R58</t>
  </si>
  <si>
    <t>Date de paiment</t>
  </si>
  <si>
    <t>F03</t>
  </si>
  <si>
    <t>F09</t>
  </si>
  <si>
    <t>F08</t>
  </si>
  <si>
    <t>F06</t>
  </si>
  <si>
    <t>F04</t>
  </si>
  <si>
    <t>F02</t>
  </si>
  <si>
    <t>F07</t>
  </si>
  <si>
    <r>
      <t>Liste de</t>
    </r>
    <r>
      <rPr>
        <b/>
        <sz val="14"/>
        <color rgb="FF59A7FF"/>
        <rFont val="Lato Medium"/>
        <family val="2"/>
      </rPr>
      <t xml:space="preserve"> </t>
    </r>
    <r>
      <rPr>
        <b/>
        <sz val="14"/>
        <color rgb="FF23D7C2"/>
        <rFont val="Lato Medium"/>
        <family val="2"/>
      </rPr>
      <t>fournisseurs</t>
    </r>
  </si>
  <si>
    <t>Veuillez saisir manuellement les informations de chaque fournisseur :</t>
  </si>
  <si>
    <t>F59</t>
  </si>
  <si>
    <t>F60</t>
  </si>
  <si>
    <t>F61</t>
  </si>
  <si>
    <t>F62</t>
  </si>
  <si>
    <t>F63</t>
  </si>
  <si>
    <t>F64</t>
  </si>
  <si>
    <t>F65</t>
  </si>
  <si>
    <t>R60</t>
  </si>
  <si>
    <t>R61</t>
  </si>
  <si>
    <t>R62</t>
  </si>
  <si>
    <t>virement</t>
  </si>
  <si>
    <t>R65</t>
  </si>
  <si>
    <t>34/1/2025</t>
  </si>
  <si>
    <t>R31</t>
  </si>
  <si>
    <t>R35</t>
  </si>
  <si>
    <t>R28</t>
  </si>
  <si>
    <t>Veuillez saisir les les informations de chaque dette :</t>
  </si>
  <si>
    <r>
      <t xml:space="preserve">Liste des </t>
    </r>
    <r>
      <rPr>
        <b/>
        <sz val="15"/>
        <color rgb="FF009EDE"/>
        <rFont val="Bati"/>
      </rPr>
      <t>Règlement</t>
    </r>
    <r>
      <rPr>
        <b/>
        <sz val="15"/>
        <color theme="1"/>
        <rFont val="Bati"/>
      </rPr>
      <t xml:space="preserve"> :</t>
    </r>
  </si>
  <si>
    <t>Veuillez saisir les les informations de chaque règlement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</si>
</sst>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* #,##0.00\ [$€-40C]_-;\-* #,##0.00\ [$€-40C]_-;_-* &quot;-&quot;??\ [$€-40C]_-;_-@_-"/>
  </numFmts>
  <fonts count="2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555555"/>
      <name val="Lato"/>
      <family val="2"/>
    </font>
    <font>
      <b/>
      <sz val="10"/>
      <color theme="0"/>
      <name val="Lato Medium"/>
      <family val="2"/>
    </font>
    <font>
      <b/>
      <sz val="12"/>
      <color rgb="FF555555"/>
      <name val="Lato Medium"/>
      <family val="2"/>
    </font>
    <font>
      <sz val="9"/>
      <color theme="1"/>
      <name val="Lato"/>
      <family val="2"/>
    </font>
    <font>
      <b/>
      <sz val="15"/>
      <color theme="1"/>
      <name val="Bati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2"/>
      <color theme="1"/>
      <name val="Tabi"/>
    </font>
    <font>
      <b/>
      <sz val="11"/>
      <color theme="1"/>
      <name val="TaBI"/>
    </font>
    <font>
      <b/>
      <sz val="12"/>
      <color theme="2" tint="-0.499984740745262"/>
      <name val="Tabi"/>
    </font>
    <font>
      <sz val="11"/>
      <color theme="1"/>
      <name val="Tabi"/>
    </font>
    <font>
      <b/>
      <sz val="15"/>
      <color rgb="FF009EDE"/>
      <name val="Bati"/>
    </font>
    <font>
      <sz val="8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0"/>
      <color theme="1" tint="4.9989318521683403E-2"/>
      <name val="Lato"/>
      <family val="2"/>
    </font>
    <font>
      <sz val="11"/>
      <color theme="1" tint="4.9989318521683403E-2"/>
      <name val="Calibri"/>
      <family val="2"/>
      <scheme val="minor"/>
    </font>
    <font>
      <b/>
      <sz val="14"/>
      <color rgb="FF555555"/>
      <name val="Lato Medium"/>
      <family val="2"/>
    </font>
    <font>
      <b/>
      <sz val="14"/>
      <color rgb="FF59A7FF"/>
      <name val="Lato Medium"/>
      <family val="2"/>
    </font>
    <font>
      <b/>
      <sz val="14"/>
      <color rgb="FF23D7C2"/>
      <name val="Lato Medium"/>
      <family val="2"/>
    </font>
    <font>
      <b/>
      <sz val="12"/>
      <color rgb="FF555555"/>
      <name val="Lat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23D7C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C5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/>
      <top/>
      <bottom style="dotted">
        <color theme="2" tint="-0.499984740745262"/>
      </bottom>
      <diagonal/>
    </border>
    <border>
      <left style="thin">
        <color theme="2"/>
      </left>
      <right style="thin">
        <color theme="2"/>
      </right>
      <top style="dotted">
        <color theme="2" tint="-0.499984740745262"/>
      </top>
      <bottom/>
      <diagonal/>
    </border>
    <border>
      <left/>
      <right/>
      <top style="dotted">
        <color theme="2" tint="-0.499984740745262"/>
      </top>
      <bottom/>
      <diagonal/>
    </border>
    <border>
      <left style="thin">
        <color theme="2"/>
      </left>
      <right style="thin">
        <color theme="2"/>
      </right>
      <top style="dotted">
        <color theme="2" tint="-0.499984740745262"/>
      </top>
      <bottom style="dotted">
        <color theme="2" tint="-0.499984740745262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5" borderId="9" xfId="0" applyFont="1" applyFill="1" applyBorder="1" applyAlignment="1">
      <alignment horizontal="center" vertical="center"/>
    </xf>
    <xf numFmtId="14" fontId="10" fillId="5" borderId="9" xfId="0" applyNumberFormat="1" applyFont="1" applyFill="1" applyBorder="1" applyAlignment="1">
      <alignment horizontal="center" vertical="center"/>
    </xf>
    <xf numFmtId="164" fontId="10" fillId="5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/>
    <xf numFmtId="0" fontId="8" fillId="0" borderId="0" xfId="0" applyFont="1" applyAlignment="1">
      <alignment horizontal="left" vertical="center"/>
    </xf>
    <xf numFmtId="0" fontId="10" fillId="5" borderId="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6" borderId="0" xfId="0" applyFill="1"/>
    <xf numFmtId="0" fontId="15" fillId="6" borderId="0" xfId="0" applyFont="1" applyFill="1" applyAlignment="1">
      <alignment horizontal="center" vertical="center"/>
    </xf>
    <xf numFmtId="164" fontId="15" fillId="6" borderId="0" xfId="0" applyNumberFormat="1" applyFont="1" applyFill="1" applyAlignment="1">
      <alignment horizontal="center" vertical="center"/>
    </xf>
    <xf numFmtId="14" fontId="15" fillId="6" borderId="0" xfId="0" applyNumberFormat="1" applyFont="1" applyFill="1" applyAlignment="1">
      <alignment horizontal="center" vertical="center"/>
    </xf>
    <xf numFmtId="14" fontId="0" fillId="0" borderId="0" xfId="0" applyNumberFormat="1"/>
    <xf numFmtId="0" fontId="16" fillId="2" borderId="1" xfId="0" applyFont="1" applyFill="1" applyBorder="1" applyAlignment="1">
      <alignment horizontal="center" vertical="center"/>
    </xf>
    <xf numFmtId="14" fontId="16" fillId="2" borderId="1" xfId="0" applyNumberFormat="1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right"/>
    </xf>
    <xf numFmtId="164" fontId="15" fillId="6" borderId="0" xfId="0" applyNumberFormat="1" applyFont="1" applyFill="1" applyAlignment="1">
      <alignment horizontal="right"/>
    </xf>
    <xf numFmtId="0" fontId="16" fillId="2" borderId="11" xfId="0" applyFont="1" applyFill="1" applyBorder="1" applyAlignment="1">
      <alignment horizontal="right"/>
    </xf>
    <xf numFmtId="164" fontId="16" fillId="2" borderId="1" xfId="0" applyNumberFormat="1" applyFont="1" applyFill="1" applyBorder="1" applyAlignment="1">
      <alignment horizontal="right"/>
    </xf>
    <xf numFmtId="0" fontId="16" fillId="2" borderId="6" xfId="0" applyFont="1" applyFill="1" applyBorder="1" applyAlignment="1">
      <alignment horizontal="right"/>
    </xf>
    <xf numFmtId="0" fontId="15" fillId="6" borderId="0" xfId="0" applyFont="1" applyFill="1" applyAlignment="1">
      <alignment horizontal="left"/>
    </xf>
    <xf numFmtId="164" fontId="15" fillId="6" borderId="0" xfId="0" applyNumberFormat="1" applyFont="1" applyFill="1" applyAlignment="1">
      <alignment horizontal="left"/>
    </xf>
    <xf numFmtId="0" fontId="0" fillId="6" borderId="0" xfId="0" applyFill="1" applyAlignment="1">
      <alignment horizontal="left"/>
    </xf>
    <xf numFmtId="0" fontId="1" fillId="6" borderId="0" xfId="0" applyFont="1" applyFill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7" fillId="0" borderId="0" xfId="0" applyFont="1"/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10" xfId="0" applyFont="1" applyFill="1" applyBorder="1" applyAlignment="1">
      <alignment horizontal="center" vertical="center"/>
    </xf>
    <xf numFmtId="14" fontId="16" fillId="2" borderId="11" xfId="0" applyNumberFormat="1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164" fontId="16" fillId="2" borderId="1" xfId="0" applyNumberFormat="1" applyFont="1" applyFill="1" applyBorder="1" applyAlignment="1">
      <alignment horizontal="center" vertical="center"/>
    </xf>
    <xf numFmtId="164" fontId="16" fillId="2" borderId="11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15" fillId="6" borderId="0" xfId="0" applyFont="1" applyFill="1" applyAlignment="1">
      <alignment horizontal="left" vertical="top"/>
    </xf>
    <xf numFmtId="164" fontId="15" fillId="6" borderId="0" xfId="0" applyNumberFormat="1" applyFont="1" applyFill="1" applyAlignment="1">
      <alignment horizontal="left" vertical="top"/>
    </xf>
    <xf numFmtId="14" fontId="15" fillId="6" borderId="0" xfId="0" applyNumberFormat="1" applyFont="1" applyFill="1" applyAlignment="1">
      <alignment horizontal="left" vertical="top"/>
    </xf>
    <xf numFmtId="0" fontId="16" fillId="6" borderId="16" xfId="0" applyFont="1" applyFill="1" applyBorder="1" applyAlignment="1">
      <alignment horizontal="left" vertical="top"/>
    </xf>
    <xf numFmtId="0" fontId="16" fillId="6" borderId="13" xfId="0" applyFont="1" applyFill="1" applyBorder="1" applyAlignment="1">
      <alignment horizontal="left" vertical="top"/>
    </xf>
    <xf numFmtId="14" fontId="16" fillId="6" borderId="13" xfId="0" applyNumberFormat="1" applyFont="1" applyFill="1" applyBorder="1" applyAlignment="1">
      <alignment horizontal="left" vertical="top"/>
    </xf>
    <xf numFmtId="164" fontId="16" fillId="6" borderId="13" xfId="0" applyNumberFormat="1" applyFont="1" applyFill="1" applyBorder="1" applyAlignment="1">
      <alignment horizontal="left" vertical="top"/>
    </xf>
    <xf numFmtId="0" fontId="16" fillId="6" borderId="15" xfId="0" applyFont="1" applyFill="1" applyBorder="1" applyAlignment="1">
      <alignment horizontal="left" vertical="top"/>
    </xf>
    <xf numFmtId="0" fontId="16" fillId="6" borderId="10" xfId="0" applyFont="1" applyFill="1" applyBorder="1" applyAlignment="1">
      <alignment horizontal="left" vertical="top"/>
    </xf>
    <xf numFmtId="0" fontId="16" fillId="6" borderId="11" xfId="0" applyFont="1" applyFill="1" applyBorder="1" applyAlignment="1">
      <alignment horizontal="left" vertical="top"/>
    </xf>
    <xf numFmtId="14" fontId="16" fillId="6" borderId="11" xfId="0" applyNumberFormat="1" applyFont="1" applyFill="1" applyBorder="1" applyAlignment="1">
      <alignment horizontal="left" vertical="top"/>
    </xf>
    <xf numFmtId="164" fontId="16" fillId="6" borderId="11" xfId="0" applyNumberFormat="1" applyFont="1" applyFill="1" applyBorder="1" applyAlignment="1">
      <alignment horizontal="left" vertical="top"/>
    </xf>
    <xf numFmtId="0" fontId="16" fillId="6" borderId="12" xfId="0" applyFont="1" applyFill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18" fillId="0" borderId="0" xfId="0" applyFont="1" applyAlignment="1">
      <alignment horizontal="left"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164" fontId="15" fillId="7" borderId="0" xfId="0" applyNumberFormat="1" applyFont="1" applyFill="1" applyAlignment="1">
      <alignment horizontal="center" vertical="center"/>
    </xf>
    <xf numFmtId="164" fontId="15" fillId="7" borderId="0" xfId="0" applyNumberFormat="1" applyFont="1" applyFill="1" applyAlignment="1">
      <alignment horizontal="left"/>
    </xf>
    <xf numFmtId="14" fontId="15" fillId="7" borderId="0" xfId="0" applyNumberFormat="1" applyFont="1" applyFill="1" applyAlignment="1">
      <alignment horizontal="center" vertical="center"/>
    </xf>
    <xf numFmtId="0" fontId="15" fillId="7" borderId="0" xfId="0" applyFont="1" applyFill="1" applyAlignment="1">
      <alignment horizontal="left"/>
    </xf>
    <xf numFmtId="0" fontId="7" fillId="0" borderId="0" xfId="0" applyFont="1" applyAlignment="1">
      <alignment horizontal="left" vertical="center"/>
    </xf>
    <xf numFmtId="0" fontId="0" fillId="0" borderId="18" xfId="0" applyBorder="1"/>
    <xf numFmtId="0" fontId="9" fillId="5" borderId="17" xfId="0" applyFont="1" applyFill="1" applyBorder="1" applyAlignment="1">
      <alignment horizontal="center" vertical="center"/>
    </xf>
    <xf numFmtId="164" fontId="10" fillId="5" borderId="19" xfId="0" applyNumberFormat="1" applyFont="1" applyFill="1" applyBorder="1" applyAlignment="1">
      <alignment horizontal="center" vertical="center"/>
    </xf>
    <xf numFmtId="0" fontId="10" fillId="5" borderId="19" xfId="0" applyFont="1" applyFill="1" applyBorder="1" applyAlignment="1">
      <alignment horizontal="center" vertical="center"/>
    </xf>
    <xf numFmtId="0" fontId="0" fillId="0" borderId="20" xfId="0" applyBorder="1"/>
    <xf numFmtId="14" fontId="10" fillId="5" borderId="21" xfId="0" applyNumberFormat="1" applyFont="1" applyFill="1" applyBorder="1" applyAlignment="1">
      <alignment horizontal="center" vertical="center"/>
    </xf>
    <xf numFmtId="164" fontId="10" fillId="5" borderId="21" xfId="0" applyNumberFormat="1" applyFont="1" applyFill="1" applyBorder="1" applyAlignment="1">
      <alignment horizontal="center" vertical="center"/>
    </xf>
    <xf numFmtId="0" fontId="0" fillId="0" borderId="0" xfId="0" applyBorder="1"/>
  </cellXfs>
  <cellStyles count="1">
    <cellStyle name="Normal" xfId="0" builtinId="0"/>
  </cellStyles>
  <dxfs count="40">
    <dxf>
      <font>
        <b/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33C5FF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164" formatCode="_-* #,##0.00\ [$€-40C]_-;\-* #,##0.00\ [$€-40C]_-;_-* &quot;-&quot;??\ [$€-40C]_-;_-@_-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Lato"/>
        <family val="2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color theme="1" tint="4.9989318521683403E-2"/>
      </font>
      <numFmt numFmtId="164" formatCode="_-* #,##0.00\ [$€-40C]_-;\-* #,##0.00\ [$€-40C]_-;_-* &quot;-&quot;??\ [$€-40C]_-;_-@_-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19" formatCode="dd/mm/yyyy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4.9989318521683403E-2"/>
      </font>
      <numFmt numFmtId="19" formatCode="dd/mm/yyyy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4.9989318521683403E-2"/>
      </font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4.9989318521683403E-2"/>
        <family val="2"/>
      </font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164" formatCode="_-* #,##0.00\ [$€-40C]_-;\-* #,##0.00\ [$€-40C]_-;_-* &quot;-&quot;??\ [$€-40C]_-;_-@_-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164" formatCode="_-* #,##0.00\ [$€-40C]_-;\-* #,##0.00\ [$€-40C]_-;_-* &quot;-&quot;??\ [$€-40C]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19" formatCode="dd/mm/yyyy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164" formatCode="_-* #,##0.00\ [$€-40C]_-;\-* #,##0.00\ [$€-40C]_-;_-* &quot;-&quot;??\ [$€-40C]_-;_-@_-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164" formatCode="_-* #,##0.00\ [$€-40C]_-;\-* #,##0.00\ [$€-40C]_-;_-* &quot;-&quot;??\ [$€-40C]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4.9989318521683403E-2"/>
      </font>
      <numFmt numFmtId="164" formatCode="_-* #,##0.00\ [$€-40C]_-;\-* #,##0.00\ [$€-40C]_-;_-* &quot;-&quot;??\ [$€-40C]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4.9989318521683403E-2"/>
      </font>
      <numFmt numFmtId="164" formatCode="_-* #,##0.00\ [$€-40C]_-;\-* #,##0.00\ [$€-40C]_-;_-* &quot;-&quot;??\ [$€-40C]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4.9989318521683403E-2"/>
      </font>
      <numFmt numFmtId="19" formatCode="dd/mm/yyyy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Lato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4.9989318521683403E-2"/>
        <family val="2"/>
      </font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0" tint="-0.149967955565050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555555"/>
        <name val="Lato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555555"/>
        <name val="Lato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555555"/>
        <name val="Lato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555555"/>
        <name val="Lato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555555"/>
        <name val="Lato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Lato Medium"/>
        <family val="2"/>
        <scheme val="none"/>
      </font>
      <fill>
        <patternFill patternType="solid">
          <fgColor indexed="64"/>
          <bgColor rgb="FF23D7C2"/>
        </patternFill>
      </fill>
      <alignment horizontal="center" vertical="center" textRotation="0" wrapText="0" indent="0" justifyLastLine="0" shrinkToFit="0" readingOrder="0"/>
    </dxf>
    <dxf>
      <font>
        <b/>
        <i val="0"/>
        <sz val="10"/>
        <color rgb="FF849AA9"/>
        <name val="Lato"/>
        <family val="2"/>
        <scheme val="none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10"/>
        <color theme="1"/>
        <name val="Open Sans SemiBold"/>
        <family val="2"/>
        <scheme val="none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tyle2" pivot="0" table="0" count="10" xr9:uid="{E74DE3DE-AD66-42F5-87AF-E53FB2EEBC8B}">
      <tableStyleElement type="wholeTable" dxfId="39"/>
      <tableStyleElement type="headerRow" dxfId="38"/>
    </tableStyle>
    <tableStyle name="styleBalance" pivot="0" table="0" count="2" xr9:uid="{C47A5697-1F7C-47EF-8DA8-D2E2D06DF9F8}">
      <tableStyleElement type="wholeTable" dxfId="37"/>
      <tableStyleElement type="headerRow" dxfId="36"/>
    </tableStyle>
  </tableStyles>
  <colors>
    <mruColors>
      <color rgb="FF33C5FF"/>
      <color rgb="FF0076B3"/>
      <color rgb="FF005A00"/>
      <color rgb="FFC0C0C0"/>
      <color rgb="FFF6F8FC"/>
      <color rgb="FFF8F8F8"/>
      <color rgb="FF009EDE"/>
      <color rgb="FF00A7E2"/>
      <color rgb="FF39FB55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theme="0"/>
            <name val="Montserrat SemiBold"/>
            <scheme val="none"/>
          </font>
          <fill>
            <patternFill patternType="solid">
              <fgColor auto="1"/>
              <bgColor rgb="FF6172F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0"/>
            <color theme="0"/>
            <name val="Montserrat SemiBold"/>
            <scheme val="none"/>
          </font>
          <fill>
            <patternFill patternType="solid">
              <fgColor auto="1"/>
              <bgColor rgb="FF6172F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rgb="FF0C1EA0"/>
            <name val="Montserrat SemiBold"/>
            <scheme val="none"/>
          </font>
          <fill>
            <patternFill patternType="solid">
              <fgColor theme="4" tint="0.59999389629810485"/>
              <bgColor rgb="FFF8F9FD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Montserrat SemiBold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tyle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1135380</xdr:colOff>
      <xdr:row>0</xdr:row>
      <xdr:rowOff>60960</xdr:rowOff>
    </xdr:from>
    <xdr:to>
      <xdr:col>4</xdr:col>
      <xdr:colOff>723900</xdr:colOff>
      <xdr:row>2</xdr:row>
      <xdr:rowOff>99060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77D85E9-F1D5-4CCE-918B-40BA260C6478}"/>
            </a:ext>
          </a:extLst>
        </xdr:cNvPr>
        <xdr:cNvSpPr/>
      </xdr:nvSpPr>
      <xdr:spPr>
        <a:xfrm>
          <a:off x="4175760" y="60960"/>
          <a:ext cx="1021080" cy="403860"/>
        </a:xfrm>
        <a:prstGeom prst="roundRect">
          <a:avLst/>
        </a:prstGeom>
        <a:solidFill>
          <a:srgbClr val="F6F8FC"/>
        </a:solidFill>
        <a:ln>
          <a:solidFill>
            <a:srgbClr val="C0C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rgbClr val="0076B3"/>
              </a:solidFill>
            </a:rPr>
            <a:t>Paramètres</a:t>
          </a:r>
        </a:p>
      </xdr:txBody>
    </xdr:sp>
    <xdr:clientData/>
  </xdr:twoCellAnchor>
  <xdr:twoCellAnchor>
    <xdr:from>
      <xdr:col>4</xdr:col>
      <xdr:colOff>1028700</xdr:colOff>
      <xdr:row>0</xdr:row>
      <xdr:rowOff>60960</xdr:rowOff>
    </xdr:from>
    <xdr:to>
      <xdr:col>5</xdr:col>
      <xdr:colOff>419100</xdr:colOff>
      <xdr:row>2</xdr:row>
      <xdr:rowOff>99060</xdr:rowOff>
    </xdr:to>
    <xdr:sp macro="[0]!versdette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E7142465-715F-4442-A3B9-9E4EB306A1B0}"/>
            </a:ext>
          </a:extLst>
        </xdr:cNvPr>
        <xdr:cNvSpPr/>
      </xdr:nvSpPr>
      <xdr:spPr>
        <a:xfrm>
          <a:off x="5501640" y="60960"/>
          <a:ext cx="1021080" cy="403860"/>
        </a:xfrm>
        <a:prstGeom prst="roundRect">
          <a:avLst/>
        </a:prstGeom>
        <a:solidFill>
          <a:srgbClr val="F6F8FC"/>
        </a:solidFill>
        <a:ln>
          <a:solidFill>
            <a:srgbClr val="C0C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300" b="1">
              <a:solidFill>
                <a:schemeClr val="tx1"/>
              </a:solidFill>
            </a:rPr>
            <a:t>Dette</a:t>
          </a:r>
        </a:p>
      </xdr:txBody>
    </xdr:sp>
    <xdr:clientData/>
  </xdr:twoCellAnchor>
  <xdr:twoCellAnchor>
    <xdr:from>
      <xdr:col>5</xdr:col>
      <xdr:colOff>723900</xdr:colOff>
      <xdr:row>0</xdr:row>
      <xdr:rowOff>60960</xdr:rowOff>
    </xdr:from>
    <xdr:to>
      <xdr:col>5</xdr:col>
      <xdr:colOff>1744980</xdr:colOff>
      <xdr:row>2</xdr:row>
      <xdr:rowOff>99060</xdr:rowOff>
    </xdr:to>
    <xdr:sp macro="[0]!versreglement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CA55FAFB-5DC3-40D7-9B7C-369B6861859F}"/>
            </a:ext>
          </a:extLst>
        </xdr:cNvPr>
        <xdr:cNvSpPr/>
      </xdr:nvSpPr>
      <xdr:spPr>
        <a:xfrm>
          <a:off x="6827520" y="60960"/>
          <a:ext cx="1021080" cy="403860"/>
        </a:xfrm>
        <a:prstGeom prst="roundRect">
          <a:avLst/>
        </a:prstGeom>
        <a:solidFill>
          <a:srgbClr val="F6F8FC"/>
        </a:solidFill>
        <a:ln>
          <a:solidFill>
            <a:srgbClr val="C0C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chemeClr val="tx1"/>
              </a:solidFill>
            </a:rPr>
            <a:t>Réglement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693420</xdr:colOff>
      <xdr:row>5</xdr:row>
      <xdr:rowOff>76200</xdr:rowOff>
    </xdr:from>
    <xdr:to>
      <xdr:col>10</xdr:col>
      <xdr:colOff>502920</xdr:colOff>
      <xdr:row>6</xdr:row>
      <xdr:rowOff>167640</xdr:rowOff>
    </xdr:to>
    <xdr:sp macro="[0]!AJOUTER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D0A759F6-3F86-480C-A183-20315FF86A9D}"/>
            </a:ext>
          </a:extLst>
        </xdr:cNvPr>
        <xdr:cNvSpPr/>
      </xdr:nvSpPr>
      <xdr:spPr>
        <a:xfrm>
          <a:off x="10927080" y="1051560"/>
          <a:ext cx="1219200" cy="274320"/>
        </a:xfrm>
        <a:prstGeom prst="roundRect">
          <a:avLst/>
        </a:prstGeom>
        <a:solidFill>
          <a:srgbClr val="009ED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kern="1200"/>
            <a:t>Ajouter</a:t>
          </a:r>
        </a:p>
      </xdr:txBody>
    </xdr:sp>
    <xdr:clientData/>
  </xdr:twoCellAnchor>
  <xdr:twoCellAnchor>
    <xdr:from>
      <xdr:col>9</xdr:col>
      <xdr:colOff>754380</xdr:colOff>
      <xdr:row>7</xdr:row>
      <xdr:rowOff>175260</xdr:rowOff>
    </xdr:from>
    <xdr:to>
      <xdr:col>10</xdr:col>
      <xdr:colOff>563880</xdr:colOff>
      <xdr:row>9</xdr:row>
      <xdr:rowOff>68580</xdr:rowOff>
    </xdr:to>
    <xdr:sp macro="[0]!annuler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8CB87077-CDE5-479F-AF16-6D3CE0F5E8BD}"/>
            </a:ext>
          </a:extLst>
        </xdr:cNvPr>
        <xdr:cNvSpPr/>
      </xdr:nvSpPr>
      <xdr:spPr>
        <a:xfrm>
          <a:off x="10988040" y="1531620"/>
          <a:ext cx="1219200" cy="274320"/>
        </a:xfrm>
        <a:prstGeom prst="roundRect">
          <a:avLst/>
        </a:prstGeom>
        <a:solidFill>
          <a:srgbClr val="C0C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500" b="1" kern="1200">
              <a:solidFill>
                <a:schemeClr val="tx1"/>
              </a:solidFill>
            </a:rPr>
            <a:t>Annuler</a:t>
          </a:r>
        </a:p>
      </xdr:txBody>
    </xdr:sp>
    <xdr:clientData/>
  </xdr:twoCellAnchor>
  <xdr:twoCellAnchor>
    <xdr:from>
      <xdr:col>4</xdr:col>
      <xdr:colOff>1481191</xdr:colOff>
      <xdr:row>0</xdr:row>
      <xdr:rowOff>94180</xdr:rowOff>
    </xdr:from>
    <xdr:to>
      <xdr:col>5</xdr:col>
      <xdr:colOff>969709</xdr:colOff>
      <xdr:row>2</xdr:row>
      <xdr:rowOff>138444</xdr:rowOff>
    </xdr:to>
    <xdr:sp macro="[0]!versparamet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F9A95D6-1F44-43B8-89EE-3013CA2616AD}"/>
            </a:ext>
          </a:extLst>
        </xdr:cNvPr>
        <xdr:cNvSpPr/>
      </xdr:nvSpPr>
      <xdr:spPr>
        <a:xfrm>
          <a:off x="5599416" y="94180"/>
          <a:ext cx="1021080" cy="403860"/>
        </a:xfrm>
        <a:prstGeom prst="roundRect">
          <a:avLst/>
        </a:prstGeom>
        <a:solidFill>
          <a:srgbClr val="F6F8FC"/>
        </a:solidFill>
        <a:ln>
          <a:solidFill>
            <a:srgbClr val="C0C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chemeClr val="tx1"/>
              </a:solidFill>
            </a:rPr>
            <a:t>Paramètres</a:t>
          </a:r>
        </a:p>
      </xdr:txBody>
    </xdr:sp>
    <xdr:clientData/>
  </xdr:twoCellAnchor>
  <xdr:twoCellAnchor>
    <xdr:from>
      <xdr:col>5</xdr:col>
      <xdr:colOff>1274509</xdr:colOff>
      <xdr:row>0</xdr:row>
      <xdr:rowOff>94180</xdr:rowOff>
    </xdr:from>
    <xdr:to>
      <xdr:col>6</xdr:col>
      <xdr:colOff>643163</xdr:colOff>
      <xdr:row>2</xdr:row>
      <xdr:rowOff>138444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883225-B196-4222-8FEB-F846C00E9391}"/>
            </a:ext>
          </a:extLst>
        </xdr:cNvPr>
        <xdr:cNvSpPr/>
      </xdr:nvSpPr>
      <xdr:spPr>
        <a:xfrm>
          <a:off x="6925296" y="94180"/>
          <a:ext cx="1021080" cy="403860"/>
        </a:xfrm>
        <a:prstGeom prst="roundRect">
          <a:avLst/>
        </a:prstGeom>
        <a:solidFill>
          <a:srgbClr val="F6F8FC"/>
        </a:solidFill>
        <a:ln>
          <a:solidFill>
            <a:srgbClr val="C0C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300" b="1">
              <a:solidFill>
                <a:srgbClr val="0076B3"/>
              </a:solidFill>
            </a:rPr>
            <a:t>Dette</a:t>
          </a:r>
        </a:p>
      </xdr:txBody>
    </xdr:sp>
    <xdr:clientData/>
  </xdr:twoCellAnchor>
  <xdr:twoCellAnchor>
    <xdr:from>
      <xdr:col>6</xdr:col>
      <xdr:colOff>947963</xdr:colOff>
      <xdr:row>0</xdr:row>
      <xdr:rowOff>94180</xdr:rowOff>
    </xdr:from>
    <xdr:to>
      <xdr:col>7</xdr:col>
      <xdr:colOff>453604</xdr:colOff>
      <xdr:row>2</xdr:row>
      <xdr:rowOff>138444</xdr:rowOff>
    </xdr:to>
    <xdr:sp macro="[0]!versreglement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E59724EB-F9D3-497D-9F74-2DF4CCBC0876}"/>
            </a:ext>
          </a:extLst>
        </xdr:cNvPr>
        <xdr:cNvSpPr/>
      </xdr:nvSpPr>
      <xdr:spPr>
        <a:xfrm>
          <a:off x="8251176" y="94180"/>
          <a:ext cx="1021080" cy="403860"/>
        </a:xfrm>
        <a:prstGeom prst="roundRect">
          <a:avLst/>
        </a:prstGeom>
        <a:solidFill>
          <a:srgbClr val="F6F8FC"/>
        </a:solidFill>
        <a:ln>
          <a:solidFill>
            <a:srgbClr val="C0C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chemeClr val="tx1"/>
              </a:solidFill>
            </a:rPr>
            <a:t>Réglement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121920</xdr:rowOff>
    </xdr:from>
    <xdr:to>
      <xdr:col>8</xdr:col>
      <xdr:colOff>0</xdr:colOff>
      <xdr:row>2</xdr:row>
      <xdr:rowOff>30480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A520E78-E62A-4ED8-94EC-FAB377188CB1}"/>
            </a:ext>
          </a:extLst>
        </xdr:cNvPr>
        <xdr:cNvSpPr/>
      </xdr:nvSpPr>
      <xdr:spPr>
        <a:xfrm>
          <a:off x="8945880" y="121920"/>
          <a:ext cx="1219200" cy="274320"/>
        </a:xfrm>
        <a:prstGeom prst="roundRect">
          <a:avLst/>
        </a:prstGeom>
        <a:solidFill>
          <a:srgbClr val="39FB5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6</xdr:col>
      <xdr:colOff>693420</xdr:colOff>
      <xdr:row>5</xdr:row>
      <xdr:rowOff>76200</xdr:rowOff>
    </xdr:from>
    <xdr:to>
      <xdr:col>7</xdr:col>
      <xdr:colOff>502920</xdr:colOff>
      <xdr:row>6</xdr:row>
      <xdr:rowOff>167640</xdr:rowOff>
    </xdr:to>
    <xdr:sp macro="[0]!ajouterréglement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84FE6B7C-89C5-4D28-9933-86186828A919}"/>
            </a:ext>
          </a:extLst>
        </xdr:cNvPr>
        <xdr:cNvSpPr/>
      </xdr:nvSpPr>
      <xdr:spPr>
        <a:xfrm>
          <a:off x="10927080" y="1051560"/>
          <a:ext cx="1219200" cy="274320"/>
        </a:xfrm>
        <a:prstGeom prst="roundRect">
          <a:avLst/>
        </a:prstGeom>
        <a:solidFill>
          <a:srgbClr val="009ED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kern="1200"/>
            <a:t>Ajouter</a:t>
          </a:r>
        </a:p>
      </xdr:txBody>
    </xdr:sp>
    <xdr:clientData/>
  </xdr:twoCellAnchor>
  <xdr:twoCellAnchor>
    <xdr:from>
      <xdr:col>6</xdr:col>
      <xdr:colOff>662940</xdr:colOff>
      <xdr:row>7</xdr:row>
      <xdr:rowOff>137160</xdr:rowOff>
    </xdr:from>
    <xdr:to>
      <xdr:col>7</xdr:col>
      <xdr:colOff>579120</xdr:colOff>
      <xdr:row>9</xdr:row>
      <xdr:rowOff>30480</xdr:rowOff>
    </xdr:to>
    <xdr:sp macro="[0]!annulerreglement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4F278630-5051-4FAC-A2D2-F0FB2D7284A0}"/>
            </a:ext>
          </a:extLst>
        </xdr:cNvPr>
        <xdr:cNvSpPr/>
      </xdr:nvSpPr>
      <xdr:spPr>
        <a:xfrm>
          <a:off x="8267700" y="1493520"/>
          <a:ext cx="1325880" cy="289560"/>
        </a:xfrm>
        <a:prstGeom prst="roundRect">
          <a:avLst/>
        </a:prstGeom>
        <a:solidFill>
          <a:srgbClr val="C0C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500" b="1" kern="1200">
              <a:solidFill>
                <a:schemeClr val="tx1"/>
              </a:solidFill>
            </a:rPr>
            <a:t>Annuler</a:t>
          </a:r>
        </a:p>
      </xdr:txBody>
    </xdr:sp>
    <xdr:clientData/>
  </xdr:twoCellAnchor>
  <xdr:twoCellAnchor>
    <xdr:from>
      <xdr:col>3</xdr:col>
      <xdr:colOff>1455420</xdr:colOff>
      <xdr:row>0</xdr:row>
      <xdr:rowOff>129540</xdr:rowOff>
    </xdr:from>
    <xdr:to>
      <xdr:col>4</xdr:col>
      <xdr:colOff>754380</xdr:colOff>
      <xdr:row>2</xdr:row>
      <xdr:rowOff>167640</xdr:rowOff>
    </xdr:to>
    <xdr:sp macro="[0]!versparamet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F8014227-9DFA-49B4-DF71-B27F994AD633}"/>
            </a:ext>
          </a:extLst>
        </xdr:cNvPr>
        <xdr:cNvSpPr/>
      </xdr:nvSpPr>
      <xdr:spPr>
        <a:xfrm>
          <a:off x="4168140" y="129540"/>
          <a:ext cx="1021080" cy="403860"/>
        </a:xfrm>
        <a:prstGeom prst="roundRect">
          <a:avLst/>
        </a:prstGeom>
        <a:solidFill>
          <a:srgbClr val="F6F8FC"/>
        </a:solidFill>
        <a:ln>
          <a:solidFill>
            <a:srgbClr val="C0C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chemeClr val="tx1"/>
              </a:solidFill>
            </a:rPr>
            <a:t>Paramètres</a:t>
          </a:r>
        </a:p>
      </xdr:txBody>
    </xdr:sp>
    <xdr:clientData/>
  </xdr:twoCellAnchor>
  <xdr:twoCellAnchor>
    <xdr:from>
      <xdr:col>4</xdr:col>
      <xdr:colOff>1059180</xdr:colOff>
      <xdr:row>0</xdr:row>
      <xdr:rowOff>144780</xdr:rowOff>
    </xdr:from>
    <xdr:to>
      <xdr:col>5</xdr:col>
      <xdr:colOff>426720</xdr:colOff>
      <xdr:row>3</xdr:row>
      <xdr:rowOff>0</xdr:rowOff>
    </xdr:to>
    <xdr:sp macro="[0]!versdet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5D11ADD-F385-4768-A00A-DE5E81E40C45}"/>
            </a:ext>
          </a:extLst>
        </xdr:cNvPr>
        <xdr:cNvSpPr/>
      </xdr:nvSpPr>
      <xdr:spPr>
        <a:xfrm>
          <a:off x="5494020" y="144780"/>
          <a:ext cx="1021080" cy="403860"/>
        </a:xfrm>
        <a:prstGeom prst="roundRect">
          <a:avLst/>
        </a:prstGeom>
        <a:solidFill>
          <a:srgbClr val="F6F8FC"/>
        </a:solidFill>
        <a:ln>
          <a:solidFill>
            <a:srgbClr val="C0C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300" b="1">
              <a:solidFill>
                <a:schemeClr val="tx1"/>
              </a:solidFill>
            </a:rPr>
            <a:t>Dette</a:t>
          </a:r>
        </a:p>
      </xdr:txBody>
    </xdr:sp>
    <xdr:clientData/>
  </xdr:twoCellAnchor>
  <xdr:twoCellAnchor>
    <xdr:from>
      <xdr:col>5</xdr:col>
      <xdr:colOff>731520</xdr:colOff>
      <xdr:row>0</xdr:row>
      <xdr:rowOff>137160</xdr:rowOff>
    </xdr:from>
    <xdr:to>
      <xdr:col>6</xdr:col>
      <xdr:colOff>236220</xdr:colOff>
      <xdr:row>2</xdr:row>
      <xdr:rowOff>175260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5C3E1593-44F9-482F-9D46-0EADDFD3C0AB}"/>
            </a:ext>
          </a:extLst>
        </xdr:cNvPr>
        <xdr:cNvSpPr/>
      </xdr:nvSpPr>
      <xdr:spPr>
        <a:xfrm>
          <a:off x="6819900" y="137160"/>
          <a:ext cx="1021080" cy="403860"/>
        </a:xfrm>
        <a:prstGeom prst="roundRect">
          <a:avLst/>
        </a:prstGeom>
        <a:solidFill>
          <a:srgbClr val="F6F8FC"/>
        </a:solidFill>
        <a:ln>
          <a:solidFill>
            <a:srgbClr val="C0C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rgbClr val="0076B3"/>
              </a:solidFill>
            </a:rPr>
            <a:t>Réglement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60EB3A-C276-40CE-B5E3-89999E1934B0}" name="Listefournisseur" displayName="Listefournisseur" ref="C6:G23" totalsRowShown="0" headerRowDxfId="35" dataDxfId="33" headerRowBorderDxfId="34" tableBorderDxfId="32">
  <autoFilter ref="C6:G23" xr:uid="{7F60EB3A-C276-40CE-B5E3-89999E1934B0}"/>
  <tableColumns count="5">
    <tableColumn id="1" xr3:uid="{8947A88B-294A-482B-BE22-A455F266A4DC}" name="Nom" dataDxfId="31"/>
    <tableColumn id="2" xr3:uid="{8B181E13-34DC-450B-836C-176FA8AB28F0}" name="Catégorie" dataDxfId="30"/>
    <tableColumn id="3" xr3:uid="{3146CBF3-FD96-4884-A742-3656BC94443F}" name="Téléphone" dataDxfId="29"/>
    <tableColumn id="4" xr3:uid="{730CB6D4-29E2-4F66-938A-145FA1271BFE}" name="Adresse" dataDxfId="28"/>
    <tableColumn id="5" xr3:uid="{A13EB71E-41F1-4509-BCFD-15AEC7E2374E}" name="Email" dataDxfId="2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A0E7C70-EAB6-4C6F-84B9-D76F187C6085}" name="Listedettes" displayName="Listedettes" ref="C13:N87" totalsRowShown="0" headerRowDxfId="0" dataDxfId="21">
  <autoFilter ref="C13:N87" xr:uid="{6A0E7C70-EAB6-4C6F-84B9-D76F187C6085}"/>
  <tableColumns count="12">
    <tableColumn id="1" xr3:uid="{232EDC04-1E56-494F-B588-58241082DD9C}" name="N° de facture" dataDxfId="20"/>
    <tableColumn id="14" xr3:uid="{E23D66F9-34C5-4FA0-8DDD-1B34B3A86A07}" name="Date de facture" dataDxfId="19"/>
    <tableColumn id="4" xr3:uid="{9EE98BF2-35DA-4222-8A72-5087BA9A1AC8}" name="Fournisseur" dataDxfId="18"/>
    <tableColumn id="5" xr3:uid="{A1C9BC38-195A-4EB2-9CBD-6439C6F66D25}" name="Catégorie" dataDxfId="17"/>
    <tableColumn id="6" xr3:uid="{F675C321-4FA4-46EE-9074-DE2670ACA4E2}" name="Délai de règlement" dataDxfId="16"/>
    <tableColumn id="10" xr3:uid="{415658B3-68A0-4EE2-844B-C6CFB8601075}" name="Montant à payer" dataDxfId="15"/>
    <tableColumn id="9" xr3:uid="{5BE50D15-AEE4-4519-A93A-A9E6C191D3A2}" name="Montant payé" dataDxfId="14">
      <calculatedColumnFormula>SUMIF(réglement[N° de facture],Listedettes[[#This Row],[N° de facture]],réglement[Montant payé])</calculatedColumnFormula>
    </tableColumn>
    <tableColumn id="8" xr3:uid="{3D15BDEF-58B5-4040-903A-AC0321D16D7B}" name="Solde" dataDxfId="13">
      <calculatedColumnFormula>Listedettes[[#This Row],[Montant à payer]]-Listedettes[[#This Row],[Montant payé]]</calculatedColumnFormula>
    </tableColumn>
    <tableColumn id="2" xr3:uid="{32542DFE-7C18-41D6-9C00-D055E58D5A19}" name="échéance" dataDxfId="12">
      <calculatedColumnFormula>Listedettes[[#This Row],[Date de facture]]+Listedettes[[#This Row],[Délai de règlement]]</calculatedColumnFormula>
    </tableColumn>
    <tableColumn id="13" xr3:uid="{30D0F236-2243-494C-BFF4-463C56967AC9}" name="Retard" dataDxfId="11">
      <calculatedColumnFormula>IF(Listedettes[[#This Row],[Solde]]=0,"",TODAY()-K14)</calculatedColumnFormula>
    </tableColumn>
    <tableColumn id="12" xr3:uid="{45A6043B-D260-4BC6-BEAB-541940EA89BA}" name="Statut" dataDxfId="10">
      <calculatedColumnFormula>IF(Listedettes[[#This Row],[Retard]]="","payé",IF(L14&lt;=0,"non échue",IF(L14&lt;=30,"échue[1,30]",IF(L14&lt;=60,"échue[31,60]",IF(L14&lt;=90,"échue[61,90]","échue&gt;90")))))</calculatedColumnFormula>
    </tableColumn>
    <tableColumn id="11" xr3:uid="{5BC77CD3-CE06-4A25-9ABD-BCBA5EBDA7F9}" name="Remarque sur le Fournisseur" dataDxfId="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1CCBF0-F6C3-45DC-A008-6E6C2F994A2F}" name="réglement" displayName="réglement" ref="C14:H60" totalsRowShown="0" headerRowDxfId="8" dataDxfId="7">
  <autoFilter ref="C14:H60" xr:uid="{3F1CCBF0-F6C3-45DC-A008-6E6C2F994A2F}"/>
  <tableColumns count="6">
    <tableColumn id="1" xr3:uid="{C47E978F-17F8-45C0-B63F-34C146DFD60B}" name="N° de facture" dataDxfId="6"/>
    <tableColumn id="4" xr3:uid="{98BFB587-E265-4C70-82A7-3D02A65CC1AD}" name="Fournisseur" dataDxfId="5"/>
    <tableColumn id="15" xr3:uid="{DB5779F3-2912-406B-87A8-F70E7BFAF47E}" name="Date de paiment" dataDxfId="4"/>
    <tableColumn id="6" xr3:uid="{90A1088F-78B1-40C5-BA9F-27B3513FEE04}" name="Référence" dataDxfId="3"/>
    <tableColumn id="10" xr3:uid="{CD7BF866-7426-4C7B-9127-A4D0631FE7E5}" name="Montant payé" dataDxfId="2"/>
    <tableColumn id="9" xr3:uid="{61B026E9-4453-4C46-A7CA-463628D1CF92}" name="Mode de paiment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ybertech@mail.com" TargetMode="External"/><Relationship Id="rId13" Type="http://schemas.openxmlformats.org/officeDocument/2006/relationships/hyperlink" Target="mailto:mainpro@mail.com" TargetMode="External"/><Relationship Id="rId18" Type="http://schemas.openxmlformats.org/officeDocument/2006/relationships/table" Target="../tables/table1.xml"/><Relationship Id="rId3" Type="http://schemas.openxmlformats.org/officeDocument/2006/relationships/hyperlink" Target="mailto:electronova@mail.com" TargetMode="External"/><Relationship Id="rId7" Type="http://schemas.openxmlformats.org/officeDocument/2006/relationships/hyperlink" Target="mailto:innosoft@mail.com" TargetMode="External"/><Relationship Id="rId12" Type="http://schemas.openxmlformats.org/officeDocument/2006/relationships/hyperlink" Target="mailto:transexpress@mail.com" TargetMode="External"/><Relationship Id="rId17" Type="http://schemas.openxmlformats.org/officeDocument/2006/relationships/drawing" Target="../drawings/drawing1.xml"/><Relationship Id="rId2" Type="http://schemas.openxmlformats.org/officeDocument/2006/relationships/hyperlink" Target="mailto:electro.tech@mail.com" TargetMode="External"/><Relationship Id="rId16" Type="http://schemas.openxmlformats.org/officeDocument/2006/relationships/hyperlink" Target="mailto:maintech@mail.com" TargetMode="External"/><Relationship Id="rId1" Type="http://schemas.openxmlformats.org/officeDocument/2006/relationships/hyperlink" Target="mailto:tech.electro@mail.com" TargetMode="External"/><Relationship Id="rId6" Type="http://schemas.openxmlformats.org/officeDocument/2006/relationships/hyperlink" Target="mailto:infotech@mail.com" TargetMode="External"/><Relationship Id="rId11" Type="http://schemas.openxmlformats.org/officeDocument/2006/relationships/hyperlink" Target="mailto:logimove@mail.com" TargetMode="External"/><Relationship Id="rId5" Type="http://schemas.openxmlformats.org/officeDocument/2006/relationships/hyperlink" Target="mailto:techpro@mail.com" TargetMode="External"/><Relationship Id="rId15" Type="http://schemas.openxmlformats.org/officeDocument/2006/relationships/hyperlink" Target="mailto:fixit@mail.com" TargetMode="External"/><Relationship Id="rId10" Type="http://schemas.openxmlformats.org/officeDocument/2006/relationships/hyperlink" Target="mailto:speedtrans@mail.com" TargetMode="External"/><Relationship Id="rId4" Type="http://schemas.openxmlformats.org/officeDocument/2006/relationships/hyperlink" Target="mailto:electroplus@mail.com" TargetMode="External"/><Relationship Id="rId9" Type="http://schemas.openxmlformats.org/officeDocument/2006/relationships/hyperlink" Target="mailto:transline@mail.com" TargetMode="External"/><Relationship Id="rId14" Type="http://schemas.openxmlformats.org/officeDocument/2006/relationships/hyperlink" Target="mailto:techcare@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D419B-2F3C-43D9-9A3A-1FBB0A2E2C5B}">
  <dimension ref="B4:I34"/>
  <sheetViews>
    <sheetView showGridLines="0" workbookViewId="0">
      <selection activeCell="J10" sqref="J10"/>
    </sheetView>
  </sheetViews>
  <sheetFormatPr baseColWidth="10" defaultRowHeight="14.4"/>
  <cols>
    <col min="3" max="3" width="21.21875" customWidth="1"/>
    <col min="4" max="4" width="20.88671875" customWidth="1"/>
    <col min="5" max="5" width="23.77734375" customWidth="1"/>
    <col min="6" max="6" width="36.109375" customWidth="1"/>
    <col min="7" max="7" width="22" customWidth="1"/>
  </cols>
  <sheetData>
    <row r="4" spans="2:9" ht="22.2">
      <c r="B4" s="4"/>
      <c r="C4" s="74" t="s">
        <v>201</v>
      </c>
      <c r="D4" s="74"/>
      <c r="E4" s="8"/>
      <c r="F4" s="4"/>
      <c r="G4" s="4"/>
      <c r="H4" s="4"/>
      <c r="I4" s="3"/>
    </row>
    <row r="5" spans="2:9">
      <c r="B5" s="4"/>
      <c r="C5" s="73" t="s">
        <v>202</v>
      </c>
      <c r="D5" s="73"/>
      <c r="E5" s="73"/>
      <c r="F5" s="73"/>
      <c r="G5" s="4"/>
      <c r="H5" s="4"/>
      <c r="I5" s="3"/>
    </row>
    <row r="6" spans="2:9" ht="16.2">
      <c r="C6" s="11" t="s">
        <v>0</v>
      </c>
      <c r="D6" s="11" t="s">
        <v>1</v>
      </c>
      <c r="E6" s="11" t="s">
        <v>2</v>
      </c>
      <c r="F6" s="11" t="s">
        <v>3</v>
      </c>
      <c r="G6" s="11" t="s">
        <v>4</v>
      </c>
    </row>
    <row r="7" spans="2:9" ht="16.2">
      <c r="C7" s="12" t="s">
        <v>5</v>
      </c>
      <c r="D7" s="5" t="s">
        <v>6</v>
      </c>
      <c r="E7" s="5" t="s">
        <v>7</v>
      </c>
      <c r="F7" s="5" t="s">
        <v>8</v>
      </c>
      <c r="G7" s="13" t="s">
        <v>9</v>
      </c>
    </row>
    <row r="8" spans="2:9" ht="16.2">
      <c r="C8" s="12" t="s">
        <v>10</v>
      </c>
      <c r="D8" s="5" t="s">
        <v>6</v>
      </c>
      <c r="E8" s="5" t="s">
        <v>11</v>
      </c>
      <c r="F8" s="14" t="s">
        <v>12</v>
      </c>
      <c r="G8" s="13" t="s">
        <v>13</v>
      </c>
    </row>
    <row r="9" spans="2:9" ht="16.2">
      <c r="C9" s="12" t="s">
        <v>14</v>
      </c>
      <c r="D9" s="5" t="s">
        <v>6</v>
      </c>
      <c r="E9" s="6" t="s">
        <v>15</v>
      </c>
      <c r="F9" s="6" t="s">
        <v>16</v>
      </c>
      <c r="G9" s="13" t="s">
        <v>17</v>
      </c>
    </row>
    <row r="10" spans="2:9" ht="16.2">
      <c r="C10" s="12" t="s">
        <v>18</v>
      </c>
      <c r="D10" s="5" t="s">
        <v>6</v>
      </c>
      <c r="E10" s="7" t="s">
        <v>19</v>
      </c>
      <c r="F10" s="7" t="s">
        <v>20</v>
      </c>
      <c r="G10" s="13" t="s">
        <v>21</v>
      </c>
    </row>
    <row r="11" spans="2:9" ht="16.2">
      <c r="C11" s="12" t="s">
        <v>22</v>
      </c>
      <c r="D11" s="5" t="s">
        <v>23</v>
      </c>
      <c r="E11" s="7" t="s">
        <v>24</v>
      </c>
      <c r="F11" s="7" t="s">
        <v>25</v>
      </c>
      <c r="G11" s="13" t="s">
        <v>26</v>
      </c>
    </row>
    <row r="12" spans="2:9" ht="16.2">
      <c r="C12" s="12" t="s">
        <v>27</v>
      </c>
      <c r="D12" s="5" t="s">
        <v>23</v>
      </c>
      <c r="E12" s="7" t="s">
        <v>28</v>
      </c>
      <c r="F12" s="7" t="s">
        <v>29</v>
      </c>
      <c r="G12" s="13" t="s">
        <v>30</v>
      </c>
    </row>
    <row r="13" spans="2:9" ht="16.2">
      <c r="C13" s="12" t="s">
        <v>31</v>
      </c>
      <c r="D13" s="5" t="s">
        <v>23</v>
      </c>
      <c r="E13" s="7" t="s">
        <v>32</v>
      </c>
      <c r="F13" s="7" t="s">
        <v>33</v>
      </c>
      <c r="G13" s="13" t="s">
        <v>34</v>
      </c>
    </row>
    <row r="14" spans="2:9" ht="16.2">
      <c r="C14" s="12" t="s">
        <v>35</v>
      </c>
      <c r="D14" s="5" t="s">
        <v>23</v>
      </c>
      <c r="E14" s="7" t="s">
        <v>36</v>
      </c>
      <c r="F14" s="7" t="s">
        <v>37</v>
      </c>
      <c r="G14" s="13" t="s">
        <v>38</v>
      </c>
    </row>
    <row r="15" spans="2:9" ht="16.2">
      <c r="C15" s="12" t="s">
        <v>39</v>
      </c>
      <c r="D15" s="5" t="s">
        <v>40</v>
      </c>
      <c r="E15" s="7" t="s">
        <v>41</v>
      </c>
      <c r="F15" s="7" t="s">
        <v>42</v>
      </c>
      <c r="G15" s="13" t="s">
        <v>43</v>
      </c>
    </row>
    <row r="16" spans="2:9" ht="16.2">
      <c r="C16" s="12" t="s">
        <v>44</v>
      </c>
      <c r="D16" s="5" t="s">
        <v>40</v>
      </c>
      <c r="E16" s="7" t="s">
        <v>32</v>
      </c>
      <c r="F16" s="7" t="s">
        <v>45</v>
      </c>
      <c r="G16" s="13" t="s">
        <v>46</v>
      </c>
    </row>
    <row r="17" spans="2:8" ht="16.2">
      <c r="C17" s="12" t="s">
        <v>47</v>
      </c>
      <c r="D17" s="5" t="s">
        <v>40</v>
      </c>
      <c r="E17" s="7" t="s">
        <v>48</v>
      </c>
      <c r="F17" s="7" t="s">
        <v>49</v>
      </c>
      <c r="G17" s="13" t="s">
        <v>50</v>
      </c>
    </row>
    <row r="18" spans="2:8" ht="16.2">
      <c r="C18" s="12" t="s">
        <v>51</v>
      </c>
      <c r="D18" s="5" t="s">
        <v>40</v>
      </c>
      <c r="E18" s="7" t="s">
        <v>11</v>
      </c>
      <c r="F18" s="7" t="s">
        <v>12</v>
      </c>
      <c r="G18" s="13" t="s">
        <v>52</v>
      </c>
    </row>
    <row r="19" spans="2:8" ht="16.2">
      <c r="C19" s="12" t="s">
        <v>53</v>
      </c>
      <c r="D19" s="5" t="s">
        <v>54</v>
      </c>
      <c r="E19" s="7" t="s">
        <v>15</v>
      </c>
      <c r="F19" s="7" t="s">
        <v>16</v>
      </c>
      <c r="G19" s="13" t="s">
        <v>55</v>
      </c>
    </row>
    <row r="20" spans="2:8" ht="16.2">
      <c r="C20" s="12" t="s">
        <v>56</v>
      </c>
      <c r="D20" s="5" t="s">
        <v>54</v>
      </c>
      <c r="E20" s="7" t="s">
        <v>57</v>
      </c>
      <c r="F20" s="7" t="s">
        <v>58</v>
      </c>
      <c r="G20" s="13" t="s">
        <v>59</v>
      </c>
    </row>
    <row r="21" spans="2:8" ht="16.2">
      <c r="C21" s="12" t="s">
        <v>60</v>
      </c>
      <c r="D21" s="5" t="s">
        <v>54</v>
      </c>
      <c r="E21" s="7" t="s">
        <v>61</v>
      </c>
      <c r="F21" s="7" t="s">
        <v>62</v>
      </c>
      <c r="G21" s="13" t="s">
        <v>63</v>
      </c>
    </row>
    <row r="22" spans="2:8" ht="16.2">
      <c r="C22" s="15" t="s">
        <v>64</v>
      </c>
      <c r="D22" s="16" t="s">
        <v>54</v>
      </c>
      <c r="E22" s="9" t="s">
        <v>19</v>
      </c>
      <c r="F22" s="9" t="s">
        <v>20</v>
      </c>
      <c r="G22" s="17" t="s">
        <v>65</v>
      </c>
    </row>
    <row r="23" spans="2:8" ht="16.2">
      <c r="B23" s="1"/>
      <c r="C23" s="15"/>
      <c r="D23" s="16"/>
      <c r="E23" s="10"/>
      <c r="F23" s="10"/>
      <c r="G23" s="18"/>
    </row>
    <row r="24" spans="2:8">
      <c r="B24" s="1"/>
    </row>
    <row r="25" spans="2:8">
      <c r="B25" s="1"/>
      <c r="C25" s="1"/>
      <c r="D25" s="1"/>
      <c r="E25" s="1"/>
      <c r="F25" s="1"/>
      <c r="G25" s="1"/>
    </row>
    <row r="26" spans="2:8">
      <c r="B26" s="1"/>
      <c r="C26" s="1"/>
      <c r="D26" s="1"/>
      <c r="E26" s="1"/>
      <c r="F26" s="1"/>
      <c r="G26" s="1"/>
    </row>
    <row r="27" spans="2:8">
      <c r="B27" s="2"/>
      <c r="C27" s="2"/>
      <c r="D27" s="2"/>
      <c r="E27" s="2"/>
      <c r="F27" s="2"/>
      <c r="G27" s="2"/>
      <c r="H27" s="2"/>
    </row>
    <row r="28" spans="2:8">
      <c r="B28" s="2"/>
      <c r="C28" s="2"/>
      <c r="D28" s="2"/>
      <c r="E28" s="2"/>
      <c r="F28" s="2"/>
      <c r="G28" s="2"/>
      <c r="H28" s="2"/>
    </row>
    <row r="29" spans="2:8">
      <c r="B29" s="2"/>
      <c r="C29" s="2"/>
      <c r="D29" s="2"/>
      <c r="E29" s="2"/>
      <c r="F29" s="2"/>
      <c r="G29" s="2"/>
      <c r="H29" s="2"/>
    </row>
    <row r="30" spans="2:8">
      <c r="B30" s="2"/>
      <c r="C30" s="2"/>
      <c r="D30" s="2"/>
      <c r="E30" s="2"/>
      <c r="F30" s="2"/>
      <c r="G30" s="2"/>
      <c r="H30" s="2"/>
    </row>
    <row r="31" spans="2:8">
      <c r="B31" s="2"/>
      <c r="C31" s="2"/>
      <c r="D31" s="2"/>
      <c r="E31" s="2"/>
      <c r="F31" s="2"/>
      <c r="G31" s="2"/>
      <c r="H31" s="2"/>
    </row>
    <row r="32" spans="2:8">
      <c r="B32" s="2"/>
      <c r="C32" s="2"/>
      <c r="D32" s="2"/>
      <c r="E32" s="2"/>
      <c r="F32" s="2"/>
      <c r="G32" s="2"/>
      <c r="H32" s="2"/>
    </row>
    <row r="33" spans="2:8">
      <c r="B33" s="2"/>
      <c r="C33" s="2"/>
      <c r="D33" s="2"/>
      <c r="E33" s="2"/>
      <c r="F33" s="2"/>
      <c r="G33" s="2"/>
      <c r="H33" s="2"/>
    </row>
    <row r="34" spans="2:8">
      <c r="B34" s="2"/>
      <c r="C34" s="2"/>
      <c r="D34" s="2"/>
      <c r="E34" s="2"/>
      <c r="F34" s="2"/>
      <c r="G34" s="2"/>
      <c r="H34" s="2"/>
    </row>
  </sheetData>
  <mergeCells count="2">
    <mergeCell ref="C5:F5"/>
    <mergeCell ref="C4:D4"/>
  </mergeCells>
  <hyperlinks>
    <hyperlink ref="G7" r:id="rId1" display="mailto:tech.electro@mail.com" xr:uid="{CC601B57-D108-4B43-B62F-B4E3B0604593}"/>
    <hyperlink ref="G8" r:id="rId2" display="mailto:electro.tech@mail.com" xr:uid="{97C276DB-5D7F-4963-A247-C4EA069160EB}"/>
    <hyperlink ref="G9" r:id="rId3" display="mailto:electronova@mail.com" xr:uid="{9C738710-24EB-48BB-BD28-94680DA8161A}"/>
    <hyperlink ref="G10" r:id="rId4" display="mailto:electroplus@mail.com" xr:uid="{86872D25-74B8-41EC-A891-B0B1B82C4D1A}"/>
    <hyperlink ref="G11" r:id="rId5" display="mailto:techpro@mail.com" xr:uid="{65D808A1-1995-42E5-8786-A2B25D1E63D2}"/>
    <hyperlink ref="G12" r:id="rId6" display="mailto:infotech@mail.com" xr:uid="{BEBB78ED-4027-407A-96E5-0ADAA22B993E}"/>
    <hyperlink ref="G13" r:id="rId7" display="mailto:innosoft@mail.com" xr:uid="{57666385-FB7B-4FC5-8059-AD1DE42A22C3}"/>
    <hyperlink ref="G14" r:id="rId8" display="mailto:cybertech@mail.com" xr:uid="{4DD50EA3-F60C-4D6C-9FD1-C75F3F801BB9}"/>
    <hyperlink ref="G15" r:id="rId9" display="mailto:transline@mail.com" xr:uid="{642EA593-5DDC-4589-909F-0C5BCC032203}"/>
    <hyperlink ref="G16" r:id="rId10" display="mailto:speedtrans@mail.com" xr:uid="{40A7DDFC-CCB6-4E03-BE5F-54D3F4B62E9D}"/>
    <hyperlink ref="G17" r:id="rId11" display="mailto:logimove@mail.com" xr:uid="{E88C80E7-645A-45B5-A58D-6A7C1DA25568}"/>
    <hyperlink ref="G18" r:id="rId12" display="mailto:transexpress@mail.com" xr:uid="{DF9B1D5D-C7F3-4270-A9F9-683F300855D7}"/>
    <hyperlink ref="G19" r:id="rId13" display="mailto:mainpro@mail.com" xr:uid="{EBE2B135-8055-4BD9-A657-52DA714C3FE7}"/>
    <hyperlink ref="G20" r:id="rId14" xr:uid="{834B32E0-0796-4561-A77C-C9BD4681F5AD}"/>
    <hyperlink ref="G21" r:id="rId15" display="mailto:fixit@mail.com" xr:uid="{F30B50ED-225A-454F-998E-EC4EAE217E39}"/>
    <hyperlink ref="G22" r:id="rId16" display="mailto:maintech@mail.com" xr:uid="{AD8ADE8E-4B78-4876-9400-AE3091463088}"/>
  </hyperlinks>
  <pageMargins left="0.7" right="0.7" top="0.75" bottom="0.75" header="0.3" footer="0.3"/>
  <drawing r:id="rId17"/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D2FE7-722F-4AB6-A5F4-736569FF0F71}">
  <dimension ref="A4:P89"/>
  <sheetViews>
    <sheetView showGridLines="0" zoomScale="89" workbookViewId="0">
      <selection activeCell="D7" sqref="D7"/>
    </sheetView>
  </sheetViews>
  <sheetFormatPr baseColWidth="10" defaultRowHeight="14.4"/>
  <cols>
    <col min="3" max="3" width="19.21875" style="49" customWidth="1"/>
    <col min="4" max="4" width="20.33203125" style="49" customWidth="1"/>
    <col min="5" max="5" width="22.33203125" style="49" customWidth="1"/>
    <col min="6" max="6" width="24.109375" style="49" customWidth="1"/>
    <col min="7" max="7" width="22.109375" style="49" customWidth="1"/>
    <col min="8" max="8" width="20.5546875" style="49" customWidth="1"/>
    <col min="9" max="10" width="20.5546875" customWidth="1"/>
    <col min="11" max="11" width="20.5546875" style="57" customWidth="1"/>
    <col min="12" max="12" width="20.5546875" style="49" customWidth="1"/>
    <col min="13" max="13" width="26.21875" style="49" customWidth="1"/>
    <col min="14" max="14" width="27.21875" customWidth="1"/>
    <col min="15" max="15" width="33.88671875" customWidth="1"/>
  </cols>
  <sheetData>
    <row r="4" spans="3:16" ht="19.2">
      <c r="C4" s="76" t="s">
        <v>79</v>
      </c>
      <c r="D4" s="76"/>
      <c r="E4" s="76"/>
    </row>
    <row r="5" spans="3:16">
      <c r="C5" s="77" t="s">
        <v>219</v>
      </c>
      <c r="D5" s="77"/>
      <c r="E5" s="77"/>
      <c r="F5" s="77"/>
      <c r="G5" s="29"/>
    </row>
    <row r="7" spans="3:16" ht="18.600000000000001">
      <c r="C7" s="24" t="s">
        <v>66</v>
      </c>
      <c r="D7" s="20"/>
      <c r="E7" s="78" t="s">
        <v>69</v>
      </c>
      <c r="F7" s="21"/>
      <c r="G7" s="78" t="s">
        <v>68</v>
      </c>
      <c r="H7" s="22"/>
      <c r="J7" s="24"/>
      <c r="K7" s="58"/>
      <c r="L7" s="24"/>
      <c r="M7" s="24"/>
      <c r="N7" s="24"/>
      <c r="O7" s="24"/>
    </row>
    <row r="8" spans="3:16">
      <c r="C8" s="50"/>
      <c r="D8" s="50"/>
      <c r="F8" s="50"/>
      <c r="H8" s="50"/>
      <c r="J8" s="25"/>
      <c r="K8" s="59"/>
      <c r="L8" s="50"/>
      <c r="M8" s="50"/>
      <c r="N8" s="25"/>
      <c r="O8" s="25"/>
    </row>
    <row r="9" spans="3:16" ht="18.600000000000001">
      <c r="C9" s="24" t="s">
        <v>1</v>
      </c>
      <c r="D9" s="22" t="str">
        <f>IFERROR(VLOOKUP(H7,Listefournisseur[],2,0),"")</f>
        <v/>
      </c>
      <c r="E9" s="78" t="s">
        <v>147</v>
      </c>
      <c r="F9" s="27"/>
      <c r="G9" s="78" t="s">
        <v>148</v>
      </c>
      <c r="H9" s="22"/>
      <c r="J9" s="24"/>
      <c r="K9" s="58"/>
      <c r="L9" s="24"/>
      <c r="M9" s="24"/>
      <c r="N9" s="24"/>
      <c r="O9" s="24"/>
    </row>
    <row r="11" spans="3:16" ht="19.2">
      <c r="C11" s="75" t="s">
        <v>78</v>
      </c>
      <c r="D11" s="75"/>
      <c r="E11" s="75"/>
    </row>
    <row r="13" spans="3:16" s="45" customFormat="1">
      <c r="C13" s="79" t="s">
        <v>66</v>
      </c>
      <c r="D13" s="79" t="s">
        <v>69</v>
      </c>
      <c r="E13" s="79" t="s">
        <v>68</v>
      </c>
      <c r="F13" s="79" t="s">
        <v>1</v>
      </c>
      <c r="G13" s="79" t="s">
        <v>70</v>
      </c>
      <c r="H13" s="80" t="s">
        <v>71</v>
      </c>
      <c r="I13" s="81" t="s">
        <v>72</v>
      </c>
      <c r="J13" s="81" t="s">
        <v>73</v>
      </c>
      <c r="K13" s="82" t="s">
        <v>74</v>
      </c>
      <c r="L13" s="79" t="s">
        <v>75</v>
      </c>
      <c r="M13" s="79" t="s">
        <v>76</v>
      </c>
      <c r="N13" s="83" t="s">
        <v>77</v>
      </c>
      <c r="O13" s="46"/>
      <c r="P13" s="46"/>
    </row>
    <row r="14" spans="3:16" s="45" customFormat="1">
      <c r="C14" s="31" t="s">
        <v>209</v>
      </c>
      <c r="D14" s="33">
        <v>45698</v>
      </c>
      <c r="E14" s="31" t="s">
        <v>64</v>
      </c>
      <c r="F14" s="31" t="s">
        <v>54</v>
      </c>
      <c r="G14" s="31">
        <v>30</v>
      </c>
      <c r="H14" s="32">
        <v>25000</v>
      </c>
      <c r="I14" s="44">
        <f>SUMIF(réglement[N° de facture],Listedettes[[#This Row],[N° de facture]],réglement[Montant payé])</f>
        <v>20000</v>
      </c>
      <c r="J14" s="44">
        <f>Listedettes[[#This Row],[Montant à payer]]-Listedettes[[#This Row],[Montant payé]]</f>
        <v>5000</v>
      </c>
      <c r="K14" s="33">
        <f>Listedettes[[#This Row],[Date de facture]]+Listedettes[[#This Row],[Délai de règlement]]</f>
        <v>45728</v>
      </c>
      <c r="L14" s="31">
        <f ca="1">IF(Listedettes[[#This Row],[Solde]]=0,"",TODAY()-K14)</f>
        <v>-17</v>
      </c>
      <c r="M14" s="31" t="str">
        <f ca="1">IF(Listedettes[[#This Row],[Retard]]="","payé",IF(L14&lt;=0,"non échue",IF(L14&lt;=30,"échue[1,30]",IF(L14&lt;=60,"échue[31,60]",IF(L14&lt;=90,"échue[61,90]","échue&gt;90")))))</f>
        <v>non échue</v>
      </c>
      <c r="N14" s="43"/>
      <c r="O14" s="46"/>
      <c r="P14" s="46"/>
    </row>
    <row r="15" spans="3:16" s="45" customFormat="1">
      <c r="C15" s="31" t="s">
        <v>208</v>
      </c>
      <c r="D15" s="33">
        <v>45696</v>
      </c>
      <c r="E15" s="31" t="s">
        <v>51</v>
      </c>
      <c r="F15" s="31" t="s">
        <v>40</v>
      </c>
      <c r="G15" s="31">
        <v>20</v>
      </c>
      <c r="H15" s="32">
        <v>10500</v>
      </c>
      <c r="I15" s="44">
        <f>SUMIF(réglement[N° de facture],Listedettes[[#This Row],[N° de facture]],réglement[Montant payé])</f>
        <v>0</v>
      </c>
      <c r="J15" s="44">
        <f>Listedettes[[#This Row],[Montant à payer]]-Listedettes[[#This Row],[Montant payé]]</f>
        <v>10500</v>
      </c>
      <c r="K15" s="33">
        <f>Listedettes[[#This Row],[Date de facture]]+Listedettes[[#This Row],[Délai de règlement]]</f>
        <v>45716</v>
      </c>
      <c r="L15" s="31">
        <f ca="1">IF(Listedettes[[#This Row],[Solde]]=0,"",TODAY()-K15)</f>
        <v>-5</v>
      </c>
      <c r="M15" s="31" t="str">
        <f ca="1">IF(Listedettes[[#This Row],[Retard]]="","payé",IF(L15&lt;=0,"non échue",IF(L15&lt;=30,"échue[1,30]",IF(L15&lt;=60,"échue[31,60]",IF(L15&lt;=90,"échue[61,90]","échue&gt;90")))))</f>
        <v>non échue</v>
      </c>
      <c r="N15" s="43"/>
      <c r="O15" s="46"/>
      <c r="P15" s="46"/>
    </row>
    <row r="16" spans="3:16" s="45" customFormat="1">
      <c r="C16" s="31" t="s">
        <v>207</v>
      </c>
      <c r="D16" s="33">
        <v>45693</v>
      </c>
      <c r="E16" s="31" t="s">
        <v>44</v>
      </c>
      <c r="F16" s="31" t="s">
        <v>40</v>
      </c>
      <c r="G16" s="31">
        <v>30</v>
      </c>
      <c r="H16" s="32">
        <v>30000</v>
      </c>
      <c r="I16" s="44">
        <f>SUMIF(réglement[N° de facture],Listedettes[[#This Row],[N° de facture]],réglement[Montant payé])</f>
        <v>0</v>
      </c>
      <c r="J16" s="44">
        <f>Listedettes[[#This Row],[Montant à payer]]-Listedettes[[#This Row],[Montant payé]]</f>
        <v>30000</v>
      </c>
      <c r="K16" s="33">
        <f>Listedettes[[#This Row],[Date de facture]]+Listedettes[[#This Row],[Délai de règlement]]</f>
        <v>45723</v>
      </c>
      <c r="L16" s="31">
        <f ca="1">IF(Listedettes[[#This Row],[Solde]]=0,"",TODAY()-K16)</f>
        <v>-12</v>
      </c>
      <c r="M16" s="31" t="str">
        <f ca="1">IF(Listedettes[[#This Row],[Retard]]="","payé",IF(L16&lt;=0,"non échue",IF(L16&lt;=30,"échue[1,30]",IF(L16&lt;=60,"échue[31,60]",IF(L16&lt;=90,"échue[61,90]","échue&gt;90")))))</f>
        <v>non échue</v>
      </c>
      <c r="N16" s="43"/>
      <c r="O16" s="46"/>
      <c r="P16" s="46"/>
    </row>
    <row r="17" spans="3:16" s="45" customFormat="1">
      <c r="C17" s="31" t="s">
        <v>206</v>
      </c>
      <c r="D17" s="33">
        <v>45690</v>
      </c>
      <c r="E17" s="31" t="s">
        <v>51</v>
      </c>
      <c r="F17" s="31" t="s">
        <v>40</v>
      </c>
      <c r="G17" s="31">
        <v>15</v>
      </c>
      <c r="H17" s="32">
        <v>10000</v>
      </c>
      <c r="I17" s="44">
        <f>SUMIF(réglement[N° de facture],Listedettes[[#This Row],[N° de facture]],réglement[Montant payé])</f>
        <v>10000</v>
      </c>
      <c r="J17" s="44">
        <f>Listedettes[[#This Row],[Montant à payer]]-Listedettes[[#This Row],[Montant payé]]</f>
        <v>0</v>
      </c>
      <c r="K17" s="33">
        <f>Listedettes[[#This Row],[Date de facture]]+Listedettes[[#This Row],[Délai de règlement]]</f>
        <v>45705</v>
      </c>
      <c r="L17" s="31" t="str">
        <f ca="1">IF(Listedettes[[#This Row],[Solde]]=0,"",TODAY()-K17)</f>
        <v/>
      </c>
      <c r="M17" s="31" t="str">
        <f ca="1">IF(Listedettes[[#This Row],[Retard]]="","payé",IF(L17&lt;=0,"non échue",IF(L17&lt;=30,"échue[1,30]",IF(L17&lt;=60,"échue[31,60]",IF(L17&lt;=90,"échue[61,90]","échue&gt;90")))))</f>
        <v>payé</v>
      </c>
      <c r="N17" s="43"/>
      <c r="O17" s="46"/>
      <c r="P17" s="46"/>
    </row>
    <row r="18" spans="3:16" s="45" customFormat="1">
      <c r="C18" s="31" t="s">
        <v>205</v>
      </c>
      <c r="D18" s="33">
        <v>45688</v>
      </c>
      <c r="E18" s="31" t="s">
        <v>56</v>
      </c>
      <c r="F18" s="31" t="s">
        <v>54</v>
      </c>
      <c r="G18" s="31">
        <v>25</v>
      </c>
      <c r="H18" s="32">
        <v>20000</v>
      </c>
      <c r="I18" s="44">
        <f>SUMIF(réglement[N° de facture],Listedettes[[#This Row],[N° de facture]],réglement[Montant payé])</f>
        <v>10000</v>
      </c>
      <c r="J18" s="44">
        <f>Listedettes[[#This Row],[Montant à payer]]-Listedettes[[#This Row],[Montant payé]]</f>
        <v>10000</v>
      </c>
      <c r="K18" s="33">
        <f>Listedettes[[#This Row],[Date de facture]]+Listedettes[[#This Row],[Délai de règlement]]</f>
        <v>45713</v>
      </c>
      <c r="L18" s="31">
        <f ca="1">IF(Listedettes[[#This Row],[Solde]]=0,"",TODAY()-K18)</f>
        <v>-2</v>
      </c>
      <c r="M18" s="31" t="str">
        <f ca="1">IF(Listedettes[[#This Row],[Retard]]="","payé",IF(L18&lt;=0,"non échue",IF(L18&lt;=30,"échue[1,30]",IF(L18&lt;=60,"échue[31,60]",IF(L18&lt;=90,"échue[61,90]","échue&gt;90")))))</f>
        <v>non échue</v>
      </c>
      <c r="N18" s="43"/>
      <c r="O18" s="46"/>
      <c r="P18" s="46"/>
    </row>
    <row r="19" spans="3:16" s="45" customFormat="1">
      <c r="C19" s="31" t="s">
        <v>204</v>
      </c>
      <c r="D19" s="33">
        <v>45686</v>
      </c>
      <c r="E19" s="31" t="s">
        <v>60</v>
      </c>
      <c r="F19" s="31" t="s">
        <v>54</v>
      </c>
      <c r="G19" s="31">
        <v>20</v>
      </c>
      <c r="H19" s="32">
        <v>5000</v>
      </c>
      <c r="I19" s="44">
        <f>SUMIF(réglement[N° de facture],Listedettes[[#This Row],[N° de facture]],réglement[Montant payé])</f>
        <v>5000</v>
      </c>
      <c r="J19" s="44">
        <f>Listedettes[[#This Row],[Montant à payer]]-Listedettes[[#This Row],[Montant payé]]</f>
        <v>0</v>
      </c>
      <c r="K19" s="33">
        <f>Listedettes[[#This Row],[Date de facture]]+Listedettes[[#This Row],[Délai de règlement]]</f>
        <v>45706</v>
      </c>
      <c r="L19" s="31" t="str">
        <f ca="1">IF(Listedettes[[#This Row],[Solde]]=0,"",TODAY()-K19)</f>
        <v/>
      </c>
      <c r="M19" s="31" t="str">
        <f ca="1">IF(Listedettes[[#This Row],[Retard]]="","payé",IF(L19&lt;=0,"non échue",IF(L19&lt;=30,"échue[1,30]",IF(L19&lt;=60,"échue[31,60]",IF(L19&lt;=90,"échue[61,90]","échue&gt;90")))))</f>
        <v>payé</v>
      </c>
      <c r="N19" s="43"/>
      <c r="O19" s="46"/>
      <c r="P19" s="46"/>
    </row>
    <row r="20" spans="3:16" s="45" customFormat="1">
      <c r="C20" s="31" t="s">
        <v>203</v>
      </c>
      <c r="D20" s="33">
        <v>45684</v>
      </c>
      <c r="E20" s="31" t="s">
        <v>47</v>
      </c>
      <c r="F20" s="31" t="s">
        <v>40</v>
      </c>
      <c r="G20" s="31">
        <v>30</v>
      </c>
      <c r="H20" s="32">
        <v>10000</v>
      </c>
      <c r="I20" s="44">
        <f>SUMIF(réglement[N° de facture],Listedettes[[#This Row],[N° de facture]],réglement[Montant payé])</f>
        <v>0</v>
      </c>
      <c r="J20" s="44">
        <f>Listedettes[[#This Row],[Montant à payer]]-Listedettes[[#This Row],[Montant payé]]</f>
        <v>10000</v>
      </c>
      <c r="K20" s="33">
        <f>Listedettes[[#This Row],[Date de facture]]+Listedettes[[#This Row],[Délai de règlement]]</f>
        <v>45714</v>
      </c>
      <c r="L20" s="31">
        <f ca="1">IF(Listedettes[[#This Row],[Solde]]=0,"",TODAY()-K20)</f>
        <v>-3</v>
      </c>
      <c r="M20" s="31" t="str">
        <f ca="1">IF(Listedettes[[#This Row],[Retard]]="","payé",IF(L20&lt;=0,"non échue",IF(L20&lt;=30,"échue[1,30]",IF(L20&lt;=60,"échue[31,60]",IF(L20&lt;=90,"échue[61,90]","échue&gt;90")))))</f>
        <v>non échue</v>
      </c>
      <c r="N20" s="43"/>
      <c r="O20" s="46"/>
      <c r="P20" s="46"/>
    </row>
    <row r="21" spans="3:16" s="45" customFormat="1">
      <c r="C21" s="31" t="s">
        <v>151</v>
      </c>
      <c r="D21" s="33">
        <v>45682</v>
      </c>
      <c r="E21" s="31" t="s">
        <v>53</v>
      </c>
      <c r="F21" s="31" t="s">
        <v>54</v>
      </c>
      <c r="G21" s="31">
        <v>10</v>
      </c>
      <c r="H21" s="32">
        <v>5000</v>
      </c>
      <c r="I21" s="44">
        <f>SUMIF(réglement[N° de facture],Listedettes[[#This Row],[N° de facture]],réglement[Montant payé])</f>
        <v>2500</v>
      </c>
      <c r="J21" s="44">
        <f>Listedettes[[#This Row],[Montant à payer]]-Listedettes[[#This Row],[Montant payé]]</f>
        <v>2500</v>
      </c>
      <c r="K21" s="33">
        <f>Listedettes[[#This Row],[Date de facture]]+Listedettes[[#This Row],[Délai de règlement]]</f>
        <v>45692</v>
      </c>
      <c r="L21" s="31">
        <f ca="1">IF(Listedettes[[#This Row],[Solde]]=0,"",TODAY()-K21)</f>
        <v>19</v>
      </c>
      <c r="M21" s="31" t="str">
        <f ca="1">IF(Listedettes[[#This Row],[Retard]]="","payé",IF(L21&lt;=0,"non échue",IF(L21&lt;=30,"échue[1,30]",IF(L21&lt;=60,"échue[31,60]",IF(L21&lt;=90,"échue[61,90]","échue&gt;90")))))</f>
        <v>échue[1,30]</v>
      </c>
      <c r="N21" s="43"/>
      <c r="O21" s="46"/>
      <c r="P21" s="46"/>
    </row>
    <row r="22" spans="3:16" s="45" customFormat="1">
      <c r="C22" s="31" t="s">
        <v>150</v>
      </c>
      <c r="D22" s="33">
        <v>45679</v>
      </c>
      <c r="E22" s="31" t="s">
        <v>53</v>
      </c>
      <c r="F22" s="31" t="s">
        <v>54</v>
      </c>
      <c r="G22" s="31">
        <v>10</v>
      </c>
      <c r="H22" s="32">
        <v>10000</v>
      </c>
      <c r="I22" s="44">
        <f>SUMIF(réglement[N° de facture],Listedettes[[#This Row],[N° de facture]],réglement[Montant payé])</f>
        <v>8000</v>
      </c>
      <c r="J22" s="44">
        <f>Listedettes[[#This Row],[Montant à payer]]-Listedettes[[#This Row],[Montant payé]]</f>
        <v>2000</v>
      </c>
      <c r="K22" s="33">
        <f>Listedettes[[#This Row],[Date de facture]]+Listedettes[[#This Row],[Délai de règlement]]</f>
        <v>45689</v>
      </c>
      <c r="L22" s="31">
        <f ca="1">IF(Listedettes[[#This Row],[Solde]]=0,"",TODAY()-K22)</f>
        <v>22</v>
      </c>
      <c r="M22" s="31" t="str">
        <f ca="1">IF(Listedettes[[#This Row],[Retard]]="","payé",IF(L22&lt;=0,"non échue",IF(L22&lt;=30,"échue[1,30]",IF(L22&lt;=60,"échue[31,60]",IF(L22&lt;=90,"échue[61,90]","échue&gt;90")))))</f>
        <v>échue[1,30]</v>
      </c>
      <c r="N22" s="43"/>
      <c r="O22" s="46"/>
      <c r="P22" s="46"/>
    </row>
    <row r="23" spans="3:16" s="30" customFormat="1">
      <c r="C23" s="31" t="s">
        <v>149</v>
      </c>
      <c r="D23" s="33">
        <v>45677</v>
      </c>
      <c r="E23" s="31" t="s">
        <v>51</v>
      </c>
      <c r="F23" s="31" t="s">
        <v>40</v>
      </c>
      <c r="G23" s="31">
        <v>30</v>
      </c>
      <c r="H23" s="32">
        <v>8700</v>
      </c>
      <c r="I23" s="44">
        <f>SUMIF(réglement[N° de facture],Listedettes[[#This Row],[N° de facture]],réglement[Montant payé])</f>
        <v>8000</v>
      </c>
      <c r="J23" s="39">
        <f>Listedettes[[#This Row],[Montant à payer]]-Listedettes[[#This Row],[Montant payé]]</f>
        <v>700</v>
      </c>
      <c r="K23" s="33">
        <f>Listedettes[[#This Row],[Date de facture]]+Listedettes[[#This Row],[Délai de règlement]]</f>
        <v>45707</v>
      </c>
      <c r="L23" s="31">
        <f ca="1">IF(Listedettes[[#This Row],[Solde]]=0,"",TODAY()-K23)</f>
        <v>4</v>
      </c>
      <c r="M23" s="31" t="str">
        <f ca="1">IF(Listedettes[[#This Row],[Retard]]="","payé",IF(L23&lt;=0,"non échue",IF(L23&lt;=30,"échue[1,30]",IF(L23&lt;=60,"échue[31,60]",IF(L23&lt;=90,"échue[61,90]","échue&gt;90")))))</f>
        <v>échue[1,30]</v>
      </c>
      <c r="N23" s="38"/>
      <c r="O23" s="28"/>
      <c r="P23" s="28"/>
    </row>
    <row r="24" spans="3:16" s="30" customFormat="1">
      <c r="C24" s="31" t="s">
        <v>130</v>
      </c>
      <c r="D24" s="33">
        <v>45662</v>
      </c>
      <c r="E24" s="31" t="s">
        <v>51</v>
      </c>
      <c r="F24" s="31" t="s">
        <v>40</v>
      </c>
      <c r="G24" s="31">
        <v>20</v>
      </c>
      <c r="H24" s="32">
        <v>10000</v>
      </c>
      <c r="I24" s="44">
        <f>SUMIF(réglement[N° de facture],Listedettes[[#This Row],[N° de facture]],réglement[Montant payé])</f>
        <v>0</v>
      </c>
      <c r="J24" s="39">
        <f>Listedettes[[#This Row],[Montant à payer]]-Listedettes[[#This Row],[Montant payé]]</f>
        <v>10000</v>
      </c>
      <c r="K24" s="33">
        <f>Listedettes[[#This Row],[Date de facture]]+Listedettes[[#This Row],[Délai de règlement]]</f>
        <v>45682</v>
      </c>
      <c r="L24" s="31">
        <f ca="1">IF(Listedettes[[#This Row],[Solde]]=0,"",TODAY()-K24)</f>
        <v>29</v>
      </c>
      <c r="M24" s="31" t="str">
        <f ca="1">IF(Listedettes[[#This Row],[Retard]]="","payé",IF(L24&lt;=0,"non échue",IF(L24&lt;=30,"échue[1,30]",IF(L24&lt;=60,"échue[31,60]",IF(L24&lt;=90,"échue[61,90]","échue&gt;90")))))</f>
        <v>échue[1,30]</v>
      </c>
      <c r="N24" s="38"/>
      <c r="O24" s="28"/>
      <c r="P24" s="28"/>
    </row>
    <row r="25" spans="3:16" s="30" customFormat="1" ht="16.2">
      <c r="C25" s="31" t="s">
        <v>114</v>
      </c>
      <c r="D25" s="33">
        <v>45663</v>
      </c>
      <c r="E25" s="35" t="s">
        <v>60</v>
      </c>
      <c r="F25" s="35" t="s">
        <v>23</v>
      </c>
      <c r="G25" s="31">
        <v>10</v>
      </c>
      <c r="H25" s="32">
        <v>150000</v>
      </c>
      <c r="I25" s="44">
        <f>SUMIF(réglement[N° de facture],Listedettes[[#This Row],[N° de facture]],réglement[Montant payé])</f>
        <v>0</v>
      </c>
      <c r="J25" s="39">
        <f>Listedettes[[#This Row],[Montant à payer]]-Listedettes[[#This Row],[Montant payé]]</f>
        <v>150000</v>
      </c>
      <c r="K25" s="33">
        <f>Listedettes[[#This Row],[Date de facture]]+Listedettes[[#This Row],[Délai de règlement]]</f>
        <v>45673</v>
      </c>
      <c r="L25" s="31">
        <f ca="1">IF(Listedettes[[#This Row],[Solde]]=0,"",TODAY()-K25)</f>
        <v>38</v>
      </c>
      <c r="M25" s="32" t="str">
        <f ca="1">IF(Listedettes[[#This Row],[Retard]]="","payé",IF(L25&lt;=0,"non échue",IF(L25&lt;=30,"échue[1,30]",IF(L25&lt;=60,"échue[31,60]",IF(L25&lt;=90,"échue[61,90]","échue&gt;90")))))</f>
        <v>échue[31,60]</v>
      </c>
      <c r="N25" s="39"/>
      <c r="O25" s="28"/>
      <c r="P25" s="28"/>
    </row>
    <row r="26" spans="3:16" s="30" customFormat="1" ht="16.2">
      <c r="C26" s="31" t="s">
        <v>132</v>
      </c>
      <c r="D26" s="33">
        <v>45664</v>
      </c>
      <c r="E26" s="35" t="s">
        <v>22</v>
      </c>
      <c r="F26" s="35" t="s">
        <v>54</v>
      </c>
      <c r="G26" s="31">
        <v>15</v>
      </c>
      <c r="H26" s="32">
        <v>5000</v>
      </c>
      <c r="I26" s="44">
        <f>SUMIF(réglement[N° de facture],Listedettes[[#This Row],[N° de facture]],réglement[Montant payé])</f>
        <v>140</v>
      </c>
      <c r="J26" s="39">
        <f>Listedettes[[#This Row],[Montant à payer]]-Listedettes[[#This Row],[Montant payé]]</f>
        <v>4860</v>
      </c>
      <c r="K26" s="33">
        <f>Listedettes[[#This Row],[Date de facture]]+Listedettes[[#This Row],[Délai de règlement]]</f>
        <v>45679</v>
      </c>
      <c r="L26" s="31">
        <f ca="1">IF(Listedettes[[#This Row],[Solde]]=0,"",TODAY()-K26)</f>
        <v>32</v>
      </c>
      <c r="M26" s="32" t="str">
        <f ca="1">IF(Listedettes[[#This Row],[Retard]]="","payé",IF(L26&lt;=0,"non échue",IF(L26&lt;=30,"échue[1,30]",IF(L26&lt;=60,"échue[31,60]",IF(L26&lt;=90,"échue[61,90]","échue&gt;90")))))</f>
        <v>échue[31,60]</v>
      </c>
      <c r="N26" s="39"/>
      <c r="O26" s="28"/>
      <c r="P26" s="28"/>
    </row>
    <row r="27" spans="3:16" s="30" customFormat="1" ht="16.2">
      <c r="C27" s="31" t="s">
        <v>101</v>
      </c>
      <c r="D27" s="33">
        <v>45665</v>
      </c>
      <c r="E27" s="35" t="s">
        <v>60</v>
      </c>
      <c r="F27" s="35" t="s">
        <v>23</v>
      </c>
      <c r="G27" s="31">
        <v>40</v>
      </c>
      <c r="H27" s="32">
        <v>7000</v>
      </c>
      <c r="I27" s="44">
        <f>SUMIF(réglement[N° de facture],Listedettes[[#This Row],[N° de facture]],réglement[Montant payé])</f>
        <v>4000</v>
      </c>
      <c r="J27" s="39">
        <f>Listedettes[[#This Row],[Montant à payer]]-Listedettes[[#This Row],[Montant payé]]</f>
        <v>3000</v>
      </c>
      <c r="K27" s="33">
        <f>Listedettes[[#This Row],[Date de facture]]+Listedettes[[#This Row],[Délai de règlement]]</f>
        <v>45705</v>
      </c>
      <c r="L27" s="31">
        <f ca="1">IF(Listedettes[[#This Row],[Solde]]=0,"",TODAY()-K27)</f>
        <v>6</v>
      </c>
      <c r="M27" s="32" t="str">
        <f ca="1">IF(Listedettes[[#This Row],[Retard]]="","payé",IF(L27&lt;=0,"non échue",IF(L27&lt;=30,"échue[1,30]",IF(L27&lt;=60,"échue[31,60]",IF(L27&lt;=90,"échue[61,90]","échue&gt;90")))))</f>
        <v>échue[1,30]</v>
      </c>
      <c r="N27" s="39"/>
      <c r="O27" s="28"/>
      <c r="P27" s="28"/>
    </row>
    <row r="28" spans="3:16" s="30" customFormat="1" ht="16.2">
      <c r="C28" s="31" t="s">
        <v>102</v>
      </c>
      <c r="D28" s="33">
        <v>45666</v>
      </c>
      <c r="E28" s="35" t="s">
        <v>60</v>
      </c>
      <c r="F28" s="35" t="s">
        <v>54</v>
      </c>
      <c r="G28" s="31">
        <v>30</v>
      </c>
      <c r="H28" s="32">
        <v>250</v>
      </c>
      <c r="I28" s="44">
        <f>SUMIF(réglement[N° de facture],Listedettes[[#This Row],[N° de facture]],réglement[Montant payé])</f>
        <v>0</v>
      </c>
      <c r="J28" s="39">
        <f>Listedettes[[#This Row],[Montant à payer]]-Listedettes[[#This Row],[Montant payé]]</f>
        <v>250</v>
      </c>
      <c r="K28" s="33">
        <f>Listedettes[[#This Row],[Date de facture]]+Listedettes[[#This Row],[Délai de règlement]]</f>
        <v>45696</v>
      </c>
      <c r="L28" s="31">
        <f ca="1">IF(Listedettes[[#This Row],[Solde]]=0,"",TODAY()-K28)</f>
        <v>15</v>
      </c>
      <c r="M28" s="32" t="str">
        <f ca="1">IF(Listedettes[[#This Row],[Retard]]="","payé",IF(L28&lt;=0,"non échue",IF(L28&lt;=30,"échue[1,30]",IF(L28&lt;=60,"échue[31,60]",IF(L28&lt;=90,"échue[61,90]","échue&gt;90")))))</f>
        <v>échue[1,30]</v>
      </c>
      <c r="N28" s="39"/>
      <c r="O28" s="28"/>
      <c r="P28" s="28"/>
    </row>
    <row r="29" spans="3:16" s="30" customFormat="1" ht="16.2">
      <c r="C29" s="31" t="s">
        <v>103</v>
      </c>
      <c r="D29" s="33">
        <v>45667</v>
      </c>
      <c r="E29" s="35" t="s">
        <v>27</v>
      </c>
      <c r="F29" s="35" t="s">
        <v>23</v>
      </c>
      <c r="G29" s="31">
        <v>5</v>
      </c>
      <c r="H29" s="32">
        <v>4000</v>
      </c>
      <c r="I29" s="44">
        <f>SUMIF(réglement[N° de facture],Listedettes[[#This Row],[N° de facture]],réglement[Montant payé])</f>
        <v>4000</v>
      </c>
      <c r="J29" s="39">
        <f>Listedettes[[#This Row],[Montant à payer]]-Listedettes[[#This Row],[Montant payé]]</f>
        <v>0</v>
      </c>
      <c r="K29" s="33">
        <f>Listedettes[[#This Row],[Date de facture]]+Listedettes[[#This Row],[Délai de règlement]]</f>
        <v>45672</v>
      </c>
      <c r="L29" s="31" t="str">
        <f ca="1">IF(Listedettes[[#This Row],[Solde]]=0,"",TODAY()-K29)</f>
        <v/>
      </c>
      <c r="M29" s="32" t="str">
        <f ca="1">IF(Listedettes[[#This Row],[Retard]]="","payé",IF(L29&lt;=0,"non échue",IF(L29&lt;=30,"échue[1,30]",IF(L29&lt;=60,"échue[31,60]",IF(L29&lt;=90,"échue[61,90]","échue&gt;90")))))</f>
        <v>payé</v>
      </c>
      <c r="N29" s="39"/>
      <c r="O29" s="28"/>
      <c r="P29" s="28"/>
    </row>
    <row r="30" spans="3:16" s="30" customFormat="1" ht="16.2">
      <c r="C30" s="31" t="s">
        <v>124</v>
      </c>
      <c r="D30" s="33">
        <v>45668</v>
      </c>
      <c r="E30" s="35" t="s">
        <v>27</v>
      </c>
      <c r="F30" s="35" t="s">
        <v>54</v>
      </c>
      <c r="G30" s="31">
        <v>7</v>
      </c>
      <c r="H30" s="32">
        <v>20000</v>
      </c>
      <c r="I30" s="44">
        <f>SUMIF(réglement[N° de facture],Listedettes[[#This Row],[N° de facture]],réglement[Montant payé])</f>
        <v>200</v>
      </c>
      <c r="J30" s="39">
        <f>Listedettes[[#This Row],[Montant à payer]]-Listedettes[[#This Row],[Montant payé]]</f>
        <v>19800</v>
      </c>
      <c r="K30" s="33">
        <f>Listedettes[[#This Row],[Date de facture]]+Listedettes[[#This Row],[Délai de règlement]]</f>
        <v>45675</v>
      </c>
      <c r="L30" s="31">
        <f ca="1">IF(Listedettes[[#This Row],[Solde]]=0,"",TODAY()-K30)</f>
        <v>36</v>
      </c>
      <c r="M30" s="32" t="str">
        <f ca="1">IF(Listedettes[[#This Row],[Retard]]="","payé",IF(L30&lt;=0,"non échue",IF(L30&lt;=30,"échue[1,30]",IF(L30&lt;=60,"échue[31,60]",IF(L30&lt;=90,"échue[61,90]","échue&gt;90")))))</f>
        <v>échue[31,60]</v>
      </c>
      <c r="N30" s="39"/>
      <c r="O30" s="28"/>
      <c r="P30" s="28"/>
    </row>
    <row r="31" spans="3:16" s="30" customFormat="1" ht="16.2">
      <c r="C31" s="31" t="s">
        <v>104</v>
      </c>
      <c r="D31" s="33">
        <v>45659</v>
      </c>
      <c r="E31" s="31" t="s">
        <v>51</v>
      </c>
      <c r="F31" s="35" t="s">
        <v>23</v>
      </c>
      <c r="G31" s="31">
        <v>15</v>
      </c>
      <c r="H31" s="32">
        <v>7000</v>
      </c>
      <c r="I31" s="44">
        <f>SUMIF(réglement[N° de facture],Listedettes[[#This Row],[N° de facture]],réglement[Montant payé])</f>
        <v>0</v>
      </c>
      <c r="J31" s="39">
        <f>Listedettes[[#This Row],[Montant à payer]]-Listedettes[[#This Row],[Montant payé]]</f>
        <v>7000</v>
      </c>
      <c r="K31" s="33">
        <f>Listedettes[[#This Row],[Date de facture]]+Listedettes[[#This Row],[Délai de règlement]]</f>
        <v>45674</v>
      </c>
      <c r="L31" s="31">
        <f ca="1">IF(Listedettes[[#This Row],[Solde]]=0,"",TODAY()-K31)</f>
        <v>37</v>
      </c>
      <c r="M31" s="31" t="str">
        <f ca="1">IF(Listedettes[[#This Row],[Retard]]="","payé",IF(L31&lt;=0,"non échue",IF(L31&lt;=30,"échue[1,30]",IF(L31&lt;=60,"échue[31,60]",IF(L31&lt;=90,"échue[61,90]","échue&gt;90")))))</f>
        <v>échue[31,60]</v>
      </c>
      <c r="N31" s="38"/>
      <c r="O31" s="28"/>
      <c r="P31" s="28"/>
    </row>
    <row r="32" spans="3:16" s="30" customFormat="1" ht="16.2">
      <c r="C32" s="31" t="s">
        <v>119</v>
      </c>
      <c r="D32" s="33">
        <v>45660</v>
      </c>
      <c r="E32" s="35" t="s">
        <v>53</v>
      </c>
      <c r="F32" s="37" t="s">
        <v>40</v>
      </c>
      <c r="G32" s="31">
        <v>10</v>
      </c>
      <c r="H32" s="32">
        <v>6000</v>
      </c>
      <c r="I32" s="44">
        <f>SUMIF(réglement[N° de facture],Listedettes[[#This Row],[N° de facture]],réglement[Montant payé])</f>
        <v>0</v>
      </c>
      <c r="J32" s="39">
        <f>Listedettes[[#This Row],[Montant à payer]]-Listedettes[[#This Row],[Montant payé]]</f>
        <v>6000</v>
      </c>
      <c r="K32" s="33">
        <f>Listedettes[[#This Row],[Date de facture]]+Listedettes[[#This Row],[Délai de règlement]]</f>
        <v>45670</v>
      </c>
      <c r="L32" s="31">
        <f ca="1">IF(Listedettes[[#This Row],[Solde]]=0,"",TODAY()-K32)</f>
        <v>41</v>
      </c>
      <c r="M32" s="32" t="str">
        <f ca="1">IF(Listedettes[[#This Row],[Retard]]="","payé",IF(L32&lt;=0,"non échue",IF(L32&lt;=30,"échue[1,30]",IF(L32&lt;=60,"échue[31,60]",IF(L32&lt;=90,"échue[61,90]","échue&gt;90")))))</f>
        <v>échue[31,60]</v>
      </c>
      <c r="N32" s="39"/>
      <c r="O32" s="28"/>
      <c r="P32" s="28"/>
    </row>
    <row r="33" spans="1:16" s="30" customFormat="1" ht="16.2">
      <c r="C33" s="31" t="s">
        <v>100</v>
      </c>
      <c r="D33" s="33">
        <v>45661</v>
      </c>
      <c r="E33" s="35" t="s">
        <v>53</v>
      </c>
      <c r="F33" s="37" t="s">
        <v>54</v>
      </c>
      <c r="G33" s="31">
        <v>30</v>
      </c>
      <c r="H33" s="32">
        <v>7800</v>
      </c>
      <c r="I33" s="44">
        <f>SUMIF(réglement[N° de facture],Listedettes[[#This Row],[N° de facture]],réglement[Montant payé])</f>
        <v>0</v>
      </c>
      <c r="J33" s="39">
        <f>Listedettes[[#This Row],[Montant à payer]]-Listedettes[[#This Row],[Montant payé]]</f>
        <v>7800</v>
      </c>
      <c r="K33" s="33">
        <f>Listedettes[[#This Row],[Date de facture]]+Listedettes[[#This Row],[Délai de règlement]]</f>
        <v>45691</v>
      </c>
      <c r="L33" s="31">
        <f ca="1">IF(Listedettes[[#This Row],[Solde]]=0,"",TODAY()-K33)</f>
        <v>20</v>
      </c>
      <c r="M33" s="32" t="str">
        <f ca="1">IF(Listedettes[[#This Row],[Retard]]="","payé",IF(L33&lt;=0,"non échue",IF(L33&lt;=30,"échue[1,30]",IF(L33&lt;=60,"échue[31,60]",IF(L33&lt;=90,"échue[61,90]","échue&gt;90")))))</f>
        <v>échue[1,30]</v>
      </c>
      <c r="N33" s="39"/>
      <c r="O33" s="28"/>
      <c r="P33" s="28"/>
    </row>
    <row r="34" spans="1:16" s="30" customFormat="1" ht="16.2">
      <c r="C34" s="51" t="s">
        <v>97</v>
      </c>
      <c r="D34" s="36">
        <v>45453</v>
      </c>
      <c r="E34" s="35" t="s">
        <v>27</v>
      </c>
      <c r="F34" s="35" t="s">
        <v>23</v>
      </c>
      <c r="G34" s="35">
        <v>90</v>
      </c>
      <c r="H34" s="55">
        <v>1600</v>
      </c>
      <c r="I34" s="44">
        <f>SUMIF(réglement[N° de facture],Listedettes[[#This Row],[N° de facture]],réglement[Montant payé])</f>
        <v>0</v>
      </c>
      <c r="J34" s="41">
        <f>Listedettes[[#This Row],[Montant à payer]]-Listedettes[[#This Row],[Montant payé]]</f>
        <v>1600</v>
      </c>
      <c r="K34" s="36">
        <f>Listedettes[[#This Row],[Date de facture]]+Listedettes[[#This Row],[Délai de règlement]]</f>
        <v>45543</v>
      </c>
      <c r="L34" s="35">
        <f ca="1">IF(Listedettes[[#This Row],[Solde]]=0,"",TODAY()-K34)</f>
        <v>168</v>
      </c>
      <c r="M34" s="35" t="str">
        <f ca="1">IF(Listedettes[[#This Row],[Retard]]="","payé",IF(L34&lt;=0,"non échue",IF(L34&lt;=30,"échue[1,30]",IF(L34&lt;=60,"échue[31,60]",IF(L34&lt;=90,"échue[61,90]","échue&gt;90")))))</f>
        <v>échue&gt;90</v>
      </c>
      <c r="N34" s="42"/>
      <c r="O34" s="28"/>
      <c r="P34" s="28"/>
    </row>
    <row r="35" spans="1:16" s="30" customFormat="1" ht="16.2">
      <c r="C35" s="51" t="s">
        <v>98</v>
      </c>
      <c r="D35" s="36">
        <v>45452</v>
      </c>
      <c r="E35" s="35" t="s">
        <v>60</v>
      </c>
      <c r="F35" s="35" t="s">
        <v>54</v>
      </c>
      <c r="G35" s="35">
        <v>60</v>
      </c>
      <c r="H35" s="55">
        <v>650</v>
      </c>
      <c r="I35" s="44">
        <f>SUMIF(réglement[N° de facture],Listedettes[[#This Row],[N° de facture]],réglement[Montant payé])</f>
        <v>0</v>
      </c>
      <c r="J35" s="41">
        <f>Listedettes[[#This Row],[Montant à payer]]-Listedettes[[#This Row],[Montant payé]]</f>
        <v>650</v>
      </c>
      <c r="K35" s="36">
        <f>Listedettes[[#This Row],[Date de facture]]+Listedettes[[#This Row],[Délai de règlement]]</f>
        <v>45512</v>
      </c>
      <c r="L35" s="35">
        <f ca="1">IF(Listedettes[[#This Row],[Solde]]=0,"",TODAY()-K35)</f>
        <v>199</v>
      </c>
      <c r="M35" s="35" t="str">
        <f ca="1">IF(Listedettes[[#This Row],[Retard]]="","payé",IF(L35&lt;=0,"non échue",IF(L35&lt;=30,"échue[1,30]",IF(L35&lt;=60,"échue[31,60]",IF(L35&lt;=90,"échue[61,90]","échue&gt;90")))))</f>
        <v>échue&gt;90</v>
      </c>
      <c r="N35" s="42"/>
      <c r="O35" s="28"/>
      <c r="P35" s="28"/>
    </row>
    <row r="36" spans="1:16" ht="16.2">
      <c r="A36" s="34"/>
      <c r="C36" s="51" t="s">
        <v>99</v>
      </c>
      <c r="D36" s="36">
        <v>45449</v>
      </c>
      <c r="E36" s="35" t="s">
        <v>31</v>
      </c>
      <c r="F36" s="35" t="s">
        <v>23</v>
      </c>
      <c r="G36" s="35">
        <v>60</v>
      </c>
      <c r="H36" s="55">
        <v>800</v>
      </c>
      <c r="I36" s="44">
        <f>SUMIF(réglement[N° de facture],Listedettes[[#This Row],[N° de facture]],réglement[Montant payé])</f>
        <v>0</v>
      </c>
      <c r="J36" s="41">
        <f>Listedettes[[#This Row],[Montant à payer]]-Listedettes[[#This Row],[Montant payé]]</f>
        <v>800</v>
      </c>
      <c r="K36" s="36">
        <f>Listedettes[[#This Row],[Date de facture]]+Listedettes[[#This Row],[Délai de règlement]]</f>
        <v>45509</v>
      </c>
      <c r="L36" s="35">
        <f ca="1">IF(Listedettes[[#This Row],[Solde]]=0,"",TODAY()-K36)</f>
        <v>202</v>
      </c>
      <c r="M36" s="35" t="str">
        <f ca="1">IF(Listedettes[[#This Row],[Retard]]="","payé",IF(L36&lt;=0,"non échue",IF(L36&lt;=30,"échue[1,30]",IF(L36&lt;=60,"échue[31,60]",IF(L36&lt;=90,"échue[61,90]","échue&gt;90")))))</f>
        <v>échue&gt;90</v>
      </c>
      <c r="N36" s="42"/>
      <c r="O36" s="23"/>
      <c r="P36" s="23"/>
    </row>
    <row r="37" spans="1:16" ht="16.2">
      <c r="A37" s="34"/>
      <c r="C37" s="51" t="s">
        <v>100</v>
      </c>
      <c r="D37" s="36">
        <v>45422</v>
      </c>
      <c r="E37" s="35" t="s">
        <v>53</v>
      </c>
      <c r="F37" s="35" t="s">
        <v>54</v>
      </c>
      <c r="G37" s="35">
        <v>70</v>
      </c>
      <c r="H37" s="55">
        <v>2000</v>
      </c>
      <c r="I37" s="44">
        <f>SUMIF(réglement[N° de facture],Listedettes[[#This Row],[N° de facture]],réglement[Montant payé])</f>
        <v>0</v>
      </c>
      <c r="J37" s="41">
        <f>Listedettes[[#This Row],[Montant à payer]]-Listedettes[[#This Row],[Montant payé]]</f>
        <v>2000</v>
      </c>
      <c r="K37" s="36">
        <f>Listedettes[[#This Row],[Date de facture]]+Listedettes[[#This Row],[Délai de règlement]]</f>
        <v>45492</v>
      </c>
      <c r="L37" s="35">
        <f ca="1">IF(Listedettes[[#This Row],[Solde]]=0,"",TODAY()-K37)</f>
        <v>219</v>
      </c>
      <c r="M37" s="35" t="str">
        <f ca="1">IF(Listedettes[[#This Row],[Retard]]="","payé",IF(L37&lt;=0,"non échue",IF(L37&lt;=30,"échue[1,30]",IF(L37&lt;=60,"échue[31,60]",IF(L37&lt;=90,"échue[61,90]","échue&gt;90")))))</f>
        <v>échue&gt;90</v>
      </c>
      <c r="N37" s="42"/>
      <c r="O37" s="23"/>
      <c r="P37" s="23"/>
    </row>
    <row r="38" spans="1:16" ht="16.2">
      <c r="A38" s="34"/>
      <c r="C38" s="51" t="s">
        <v>101</v>
      </c>
      <c r="D38" s="36">
        <v>45480</v>
      </c>
      <c r="E38" s="35" t="s">
        <v>22</v>
      </c>
      <c r="F38" s="35" t="s">
        <v>23</v>
      </c>
      <c r="G38" s="35">
        <v>30</v>
      </c>
      <c r="H38" s="55">
        <v>10000</v>
      </c>
      <c r="I38" s="44">
        <f>SUMIF(réglement[N° de facture],Listedettes[[#This Row],[N° de facture]],réglement[Montant payé])</f>
        <v>4000</v>
      </c>
      <c r="J38" s="41">
        <f>Listedettes[[#This Row],[Montant à payer]]-Listedettes[[#This Row],[Montant payé]]</f>
        <v>6000</v>
      </c>
      <c r="K38" s="36">
        <f>Listedettes[[#This Row],[Date de facture]]+Listedettes[[#This Row],[Délai de règlement]]</f>
        <v>45510</v>
      </c>
      <c r="L38" s="35">
        <f ca="1">IF(Listedettes[[#This Row],[Solde]]=0,"",TODAY()-K38)</f>
        <v>201</v>
      </c>
      <c r="M38" s="35" t="str">
        <f ca="1">IF(Listedettes[[#This Row],[Retard]]="","payé",IF(L38&lt;=0,"non échue",IF(L38&lt;=30,"échue[1,30]",IF(L38&lt;=60,"échue[31,60]",IF(L38&lt;=90,"échue[61,90]","échue&gt;90")))))</f>
        <v>échue&gt;90</v>
      </c>
      <c r="N38" s="42"/>
      <c r="O38" s="23"/>
      <c r="P38" s="23"/>
    </row>
    <row r="39" spans="1:16" ht="16.2">
      <c r="A39" s="34"/>
      <c r="C39" s="51" t="s">
        <v>102</v>
      </c>
      <c r="D39" s="36">
        <v>45480</v>
      </c>
      <c r="E39" s="35" t="s">
        <v>60</v>
      </c>
      <c r="F39" s="35" t="s">
        <v>54</v>
      </c>
      <c r="G39" s="35">
        <v>30</v>
      </c>
      <c r="H39" s="55">
        <v>50</v>
      </c>
      <c r="I39" s="44">
        <f>SUMIF(réglement[N° de facture],Listedettes[[#This Row],[N° de facture]],réglement[Montant payé])</f>
        <v>0</v>
      </c>
      <c r="J39" s="41">
        <f>Listedettes[[#This Row],[Montant à payer]]-Listedettes[[#This Row],[Montant payé]]</f>
        <v>50</v>
      </c>
      <c r="K39" s="36">
        <f>Listedettes[[#This Row],[Date de facture]]+Listedettes[[#This Row],[Délai de règlement]]</f>
        <v>45510</v>
      </c>
      <c r="L39" s="35">
        <f ca="1">IF(Listedettes[[#This Row],[Solde]]=0,"",TODAY()-K39)</f>
        <v>201</v>
      </c>
      <c r="M39" s="35" t="str">
        <f ca="1">IF(Listedettes[[#This Row],[Retard]]="","payé",IF(L39&lt;=0,"non échue",IF(L39&lt;=30,"échue[1,30]",IF(L39&lt;=60,"échue[31,60]",IF(L39&lt;=90,"échue[61,90]","échue&gt;90")))))</f>
        <v>échue&gt;90</v>
      </c>
      <c r="N39" s="42"/>
      <c r="O39" s="23"/>
      <c r="P39" s="23"/>
    </row>
    <row r="40" spans="1:16" ht="16.2">
      <c r="A40" s="34"/>
      <c r="C40" s="51" t="s">
        <v>103</v>
      </c>
      <c r="D40" s="36">
        <v>45480</v>
      </c>
      <c r="E40" s="35" t="s">
        <v>27</v>
      </c>
      <c r="F40" s="35" t="s">
        <v>23</v>
      </c>
      <c r="G40" s="35">
        <v>30</v>
      </c>
      <c r="H40" s="55">
        <v>100</v>
      </c>
      <c r="I40" s="44">
        <f>SUMIF(réglement[N° de facture],Listedettes[[#This Row],[N° de facture]],réglement[Montant payé])</f>
        <v>4000</v>
      </c>
      <c r="J40" s="41">
        <f>Listedettes[[#This Row],[Montant à payer]]-Listedettes[[#This Row],[Montant payé]]</f>
        <v>-3900</v>
      </c>
      <c r="K40" s="36">
        <f>Listedettes[[#This Row],[Date de facture]]+Listedettes[[#This Row],[Délai de règlement]]</f>
        <v>45510</v>
      </c>
      <c r="L40" s="35">
        <f ca="1">IF(Listedettes[[#This Row],[Solde]]=0,"",TODAY()-K40)</f>
        <v>201</v>
      </c>
      <c r="M40" s="35" t="str">
        <f ca="1">IF(Listedettes[[#This Row],[Retard]]="","payé",IF(L40&lt;=0,"non échue",IF(L40&lt;=30,"échue[1,30]",IF(L40&lt;=60,"échue[31,60]",IF(L40&lt;=90,"échue[61,90]","échue&gt;90")))))</f>
        <v>échue&gt;90</v>
      </c>
      <c r="N40" s="42"/>
      <c r="O40" s="23"/>
      <c r="P40" s="23"/>
    </row>
    <row r="41" spans="1:16" s="23" customFormat="1" ht="16.2">
      <c r="A41" s="34"/>
      <c r="C41" s="51" t="s">
        <v>104</v>
      </c>
      <c r="D41" s="36">
        <v>45480</v>
      </c>
      <c r="E41" s="35" t="s">
        <v>27</v>
      </c>
      <c r="F41" s="54" t="s">
        <v>23</v>
      </c>
      <c r="G41" s="35">
        <v>30</v>
      </c>
      <c r="H41" s="55">
        <v>600</v>
      </c>
      <c r="I41" s="44">
        <f>SUMIF(réglement[N° de facture],Listedettes[[#This Row],[N° de facture]],réglement[Montant payé])</f>
        <v>0</v>
      </c>
      <c r="J41" s="41">
        <f>Listedettes[[#This Row],[Montant à payer]]-Listedettes[[#This Row],[Montant payé]]</f>
        <v>600</v>
      </c>
      <c r="K41" s="36">
        <f>Listedettes[[#This Row],[Date de facture]]+Listedettes[[#This Row],[Délai de règlement]]</f>
        <v>45510</v>
      </c>
      <c r="L41" s="35">
        <f ca="1">IF(Listedettes[[#This Row],[Solde]]=0,"",TODAY()-K41)</f>
        <v>201</v>
      </c>
      <c r="M41" s="35" t="str">
        <f ca="1">IF(Listedettes[[#This Row],[Retard]]="","payé",IF(L41&lt;=0,"non échue",IF(L41&lt;=30,"échue[1,30]",IF(L41&lt;=60,"échue[31,60]",IF(L41&lt;=90,"échue[61,90]","échue&gt;90")))))</f>
        <v>échue&gt;90</v>
      </c>
      <c r="N41" s="42"/>
    </row>
    <row r="42" spans="1:16" s="23" customFormat="1" ht="16.2">
      <c r="A42" s="34"/>
      <c r="C42" s="52" t="s">
        <v>105</v>
      </c>
      <c r="D42" s="53">
        <v>45415</v>
      </c>
      <c r="E42" s="37" t="s">
        <v>60</v>
      </c>
      <c r="F42" s="37" t="s">
        <v>54</v>
      </c>
      <c r="G42" s="37">
        <v>60</v>
      </c>
      <c r="H42" s="56">
        <v>160</v>
      </c>
      <c r="I42" s="44">
        <f>SUMIF(réglement[N° de facture],Listedettes[[#This Row],[N° de facture]],réglement[Montant payé])</f>
        <v>0</v>
      </c>
      <c r="J42" s="41">
        <f>Listedettes[[#This Row],[Montant à payer]]-Listedettes[[#This Row],[Montant payé]]</f>
        <v>160</v>
      </c>
      <c r="K42" s="36">
        <f>Listedettes[[#This Row],[Date de facture]]+Listedettes[[#This Row],[Délai de règlement]]</f>
        <v>45475</v>
      </c>
      <c r="L42" s="35">
        <f ca="1">IF(Listedettes[[#This Row],[Solde]]=0,"",TODAY()-K42)</f>
        <v>236</v>
      </c>
      <c r="M42" s="35" t="str">
        <f ca="1">IF(Listedettes[[#This Row],[Retard]]="","payé",IF(L42&lt;=0,"non échue",IF(L42&lt;=30,"échue[1,30]",IF(L42&lt;=60,"échue[31,60]",IF(L42&lt;=90,"échue[61,90]","échue&gt;90")))))</f>
        <v>échue&gt;90</v>
      </c>
      <c r="N42" s="40"/>
    </row>
    <row r="43" spans="1:16" s="23" customFormat="1" ht="16.2">
      <c r="A43" s="34"/>
      <c r="C43" s="52" t="s">
        <v>106</v>
      </c>
      <c r="D43" s="53">
        <v>45441</v>
      </c>
      <c r="E43" s="37" t="s">
        <v>10</v>
      </c>
      <c r="F43" s="37" t="s">
        <v>6</v>
      </c>
      <c r="G43" s="37">
        <v>30</v>
      </c>
      <c r="H43" s="56">
        <v>200</v>
      </c>
      <c r="I43" s="44">
        <f>SUMIF(réglement[N° de facture],Listedettes[[#This Row],[N° de facture]],réglement[Montant payé])</f>
        <v>0</v>
      </c>
      <c r="J43" s="41">
        <f>Listedettes[[#This Row],[Montant à payer]]-Listedettes[[#This Row],[Montant payé]]</f>
        <v>200</v>
      </c>
      <c r="K43" s="36">
        <f>Listedettes[[#This Row],[Date de facture]]+Listedettes[[#This Row],[Délai de règlement]]</f>
        <v>45471</v>
      </c>
      <c r="L43" s="35">
        <f ca="1">IF(Listedettes[[#This Row],[Solde]]=0,"",TODAY()-K43)</f>
        <v>240</v>
      </c>
      <c r="M43" s="35" t="str">
        <f ca="1">IF(Listedettes[[#This Row],[Retard]]="","payé",IF(L43&lt;=0,"non échue",IF(L43&lt;=30,"échue[1,30]",IF(L43&lt;=60,"échue[31,60]",IF(L43&lt;=90,"échue[61,90]","échue&gt;90")))))</f>
        <v>échue&gt;90</v>
      </c>
      <c r="N43" s="40"/>
    </row>
    <row r="44" spans="1:16" s="23" customFormat="1" ht="15" customHeight="1">
      <c r="A44" s="34"/>
      <c r="C44" s="52" t="s">
        <v>107</v>
      </c>
      <c r="D44" s="53">
        <v>45422</v>
      </c>
      <c r="E44" s="37" t="s">
        <v>44</v>
      </c>
      <c r="F44" s="37" t="s">
        <v>40</v>
      </c>
      <c r="G44" s="37">
        <v>30</v>
      </c>
      <c r="H44" s="56">
        <v>200</v>
      </c>
      <c r="I44" s="44">
        <f>SUMIF(réglement[N° de facture],Listedettes[[#This Row],[N° de facture]],réglement[Montant payé])</f>
        <v>200</v>
      </c>
      <c r="J44" s="41">
        <f>Listedettes[[#This Row],[Montant à payer]]-Listedettes[[#This Row],[Montant payé]]</f>
        <v>0</v>
      </c>
      <c r="K44" s="36">
        <f>Listedettes[[#This Row],[Date de facture]]+Listedettes[[#This Row],[Délai de règlement]]</f>
        <v>45452</v>
      </c>
      <c r="L44" s="35" t="str">
        <f ca="1">IF(Listedettes[[#This Row],[Solde]]=0,"",TODAY()-K44)</f>
        <v/>
      </c>
      <c r="M44" s="35" t="str">
        <f ca="1">IF(Listedettes[[#This Row],[Retard]]="","payé",IF(L44&lt;=0,"non échue",IF(L44&lt;=30,"échue[1,30]",IF(L44&lt;=60,"échue[31,60]",IF(L44&lt;=90,"échue[61,90]","échue&gt;90")))))</f>
        <v>payé</v>
      </c>
      <c r="N44" s="40"/>
    </row>
    <row r="45" spans="1:16" s="23" customFormat="1" ht="16.2">
      <c r="A45" s="34"/>
      <c r="C45" s="52" t="s">
        <v>108</v>
      </c>
      <c r="D45" s="53">
        <v>45386</v>
      </c>
      <c r="E45" s="37" t="s">
        <v>53</v>
      </c>
      <c r="F45" s="37" t="s">
        <v>54</v>
      </c>
      <c r="G45" s="37">
        <v>60</v>
      </c>
      <c r="H45" s="56">
        <v>200</v>
      </c>
      <c r="I45" s="44">
        <f>SUMIF(réglement[N° de facture],Listedettes[[#This Row],[N° de facture]],réglement[Montant payé])</f>
        <v>0</v>
      </c>
      <c r="J45" s="41">
        <f>Listedettes[[#This Row],[Montant à payer]]-Listedettes[[#This Row],[Montant payé]]</f>
        <v>200</v>
      </c>
      <c r="K45" s="36">
        <f>Listedettes[[#This Row],[Date de facture]]+Listedettes[[#This Row],[Délai de règlement]]</f>
        <v>45446</v>
      </c>
      <c r="L45" s="35">
        <f ca="1">IF(Listedettes[[#This Row],[Solde]]=0,"",TODAY()-K45)</f>
        <v>265</v>
      </c>
      <c r="M45" s="35" t="str">
        <f ca="1">IF(Listedettes[[#This Row],[Retard]]="","payé",IF(L45&lt;=0,"non échue",IF(L45&lt;=30,"échue[1,30]",IF(L45&lt;=60,"échue[31,60]",IF(L45&lt;=90,"échue[61,90]","échue&gt;90")))))</f>
        <v>échue&gt;90</v>
      </c>
      <c r="N45" s="40"/>
    </row>
    <row r="46" spans="1:16" s="23" customFormat="1" ht="16.2">
      <c r="A46" s="34"/>
      <c r="C46" s="52" t="s">
        <v>109</v>
      </c>
      <c r="D46" s="53">
        <v>45415</v>
      </c>
      <c r="E46" s="37" t="s">
        <v>64</v>
      </c>
      <c r="F46" s="37" t="s">
        <v>54</v>
      </c>
      <c r="G46" s="37">
        <v>30</v>
      </c>
      <c r="H46" s="56">
        <v>200</v>
      </c>
      <c r="I46" s="44">
        <f>SUMIF(réglement[N° de facture],Listedettes[[#This Row],[N° de facture]],réglement[Montant payé])</f>
        <v>0</v>
      </c>
      <c r="J46" s="41">
        <f>Listedettes[[#This Row],[Montant à payer]]-Listedettes[[#This Row],[Montant payé]]</f>
        <v>200</v>
      </c>
      <c r="K46" s="36">
        <f>Listedettes[[#This Row],[Date de facture]]+Listedettes[[#This Row],[Délai de règlement]]</f>
        <v>45445</v>
      </c>
      <c r="L46" s="35">
        <f ca="1">IF(Listedettes[[#This Row],[Solde]]=0,"",TODAY()-K46)</f>
        <v>266</v>
      </c>
      <c r="M46" s="35" t="str">
        <f ca="1">IF(Listedettes[[#This Row],[Retard]]="","payé",IF(L46&lt;=0,"non échue",IF(L46&lt;=30,"échue[1,30]",IF(L46&lt;=60,"échue[31,60]",IF(L46&lt;=90,"échue[61,90]","échue&gt;90")))))</f>
        <v>échue&gt;90</v>
      </c>
      <c r="N46" s="40"/>
    </row>
    <row r="47" spans="1:16" ht="16.2">
      <c r="A47" s="34"/>
      <c r="C47" s="52" t="s">
        <v>110</v>
      </c>
      <c r="D47" s="53">
        <v>45404</v>
      </c>
      <c r="E47" s="37" t="s">
        <v>51</v>
      </c>
      <c r="F47" s="37" t="s">
        <v>40</v>
      </c>
      <c r="G47" s="37">
        <v>30</v>
      </c>
      <c r="H47" s="56">
        <v>120</v>
      </c>
      <c r="I47" s="44">
        <f>SUMIF(réglement[N° de facture],Listedettes[[#This Row],[N° de facture]],réglement[Montant payé])</f>
        <v>120</v>
      </c>
      <c r="J47" s="41">
        <f>Listedettes[[#This Row],[Montant à payer]]-Listedettes[[#This Row],[Montant payé]]</f>
        <v>0</v>
      </c>
      <c r="K47" s="36">
        <f>Listedettes[[#This Row],[Date de facture]]+Listedettes[[#This Row],[Délai de règlement]]</f>
        <v>45434</v>
      </c>
      <c r="L47" s="35" t="str">
        <f ca="1">IF(Listedettes[[#This Row],[Solde]]=0,"",TODAY()-K47)</f>
        <v/>
      </c>
      <c r="M47" s="35" t="str">
        <f ca="1">IF(Listedettes[[#This Row],[Retard]]="","payé",IF(L47&lt;=0,"non échue",IF(L47&lt;=30,"échue[1,30]",IF(L47&lt;=60,"échue[31,60]",IF(L47&lt;=90,"échue[61,90]","échue&gt;90")))))</f>
        <v>payé</v>
      </c>
      <c r="N47" s="40"/>
    </row>
    <row r="48" spans="1:16" ht="16.2">
      <c r="A48" s="34"/>
      <c r="C48" s="52" t="s">
        <v>111</v>
      </c>
      <c r="D48" s="53">
        <v>45397</v>
      </c>
      <c r="E48" s="37" t="s">
        <v>14</v>
      </c>
      <c r="F48" s="37" t="s">
        <v>6</v>
      </c>
      <c r="G48" s="37">
        <v>30</v>
      </c>
      <c r="H48" s="56">
        <v>300</v>
      </c>
      <c r="I48" s="44">
        <f>SUMIF(réglement[N° de facture],Listedettes[[#This Row],[N° de facture]],réglement[Montant payé])</f>
        <v>300</v>
      </c>
      <c r="J48" s="41">
        <f>Listedettes[[#This Row],[Montant à payer]]-Listedettes[[#This Row],[Montant payé]]</f>
        <v>0</v>
      </c>
      <c r="K48" s="36">
        <f>Listedettes[[#This Row],[Date de facture]]+Listedettes[[#This Row],[Délai de règlement]]</f>
        <v>45427</v>
      </c>
      <c r="L48" s="35" t="str">
        <f ca="1">IF(Listedettes[[#This Row],[Solde]]=0,"",TODAY()-K48)</f>
        <v/>
      </c>
      <c r="M48" s="35" t="str">
        <f ca="1">IF(Listedettes[[#This Row],[Retard]]="","payé",IF(L48&lt;=0,"non échue",IF(L48&lt;=30,"échue[1,30]",IF(L48&lt;=60,"échue[31,60]",IF(L48&lt;=90,"échue[61,90]","échue&gt;90")))))</f>
        <v>payé</v>
      </c>
      <c r="N48" s="40"/>
    </row>
    <row r="49" spans="1:14" ht="16.2">
      <c r="A49" s="34"/>
      <c r="C49" s="52" t="s">
        <v>112</v>
      </c>
      <c r="D49" s="53">
        <v>45413</v>
      </c>
      <c r="E49" s="37" t="s">
        <v>14</v>
      </c>
      <c r="F49" s="37" t="s">
        <v>6</v>
      </c>
      <c r="G49" s="37">
        <v>10</v>
      </c>
      <c r="H49" s="56">
        <v>480</v>
      </c>
      <c r="I49" s="44">
        <f>SUMIF(réglement[N° de facture],Listedettes[[#This Row],[N° de facture]],réglement[Montant payé])</f>
        <v>400</v>
      </c>
      <c r="J49" s="41">
        <f>Listedettes[[#This Row],[Montant à payer]]-Listedettes[[#This Row],[Montant payé]]</f>
        <v>80</v>
      </c>
      <c r="K49" s="36">
        <f>Listedettes[[#This Row],[Date de facture]]+Listedettes[[#This Row],[Délai de règlement]]</f>
        <v>45423</v>
      </c>
      <c r="L49" s="35">
        <f ca="1">IF(Listedettes[[#This Row],[Solde]]=0,"",TODAY()-K49)</f>
        <v>288</v>
      </c>
      <c r="M49" s="35" t="str">
        <f ca="1">IF(Listedettes[[#This Row],[Retard]]="","payé",IF(L49&lt;=0,"non échue",IF(L49&lt;=30,"échue[1,30]",IF(L49&lt;=60,"échue[31,60]",IF(L49&lt;=90,"échue[61,90]","échue&gt;90")))))</f>
        <v>échue&gt;90</v>
      </c>
      <c r="N49" s="40"/>
    </row>
    <row r="50" spans="1:14" ht="16.2">
      <c r="A50" s="34"/>
      <c r="C50" s="52" t="s">
        <v>113</v>
      </c>
      <c r="D50" s="53">
        <v>45386</v>
      </c>
      <c r="E50" s="37" t="s">
        <v>53</v>
      </c>
      <c r="F50" s="37" t="s">
        <v>54</v>
      </c>
      <c r="G50" s="37">
        <v>30</v>
      </c>
      <c r="H50" s="56">
        <v>700</v>
      </c>
      <c r="I50" s="44">
        <f>SUMIF(réglement[N° de facture],Listedettes[[#This Row],[N° de facture]],réglement[Montant payé])</f>
        <v>0</v>
      </c>
      <c r="J50" s="41">
        <f>Listedettes[[#This Row],[Montant à payer]]-Listedettes[[#This Row],[Montant payé]]</f>
        <v>700</v>
      </c>
      <c r="K50" s="36">
        <f>Listedettes[[#This Row],[Date de facture]]+Listedettes[[#This Row],[Délai de règlement]]</f>
        <v>45416</v>
      </c>
      <c r="L50" s="35">
        <f ca="1">IF(Listedettes[[#This Row],[Solde]]=0,"",TODAY()-K50)</f>
        <v>295</v>
      </c>
      <c r="M50" s="35" t="str">
        <f ca="1">IF(Listedettes[[#This Row],[Retard]]="","payé",IF(L50&lt;=0,"non échue",IF(L50&lt;=30,"échue[1,30]",IF(L50&lt;=60,"échue[31,60]",IF(L50&lt;=90,"échue[61,90]","échue&gt;90")))))</f>
        <v>échue&gt;90</v>
      </c>
      <c r="N50" s="40"/>
    </row>
    <row r="51" spans="1:14" ht="16.2">
      <c r="A51" s="34"/>
      <c r="C51" s="52" t="s">
        <v>114</v>
      </c>
      <c r="D51" s="53">
        <v>45385</v>
      </c>
      <c r="E51" s="37" t="s">
        <v>44</v>
      </c>
      <c r="F51" s="37" t="s">
        <v>40</v>
      </c>
      <c r="G51" s="37">
        <v>30</v>
      </c>
      <c r="H51" s="56">
        <v>140</v>
      </c>
      <c r="I51" s="44">
        <f>SUMIF(réglement[N° de facture],Listedettes[[#This Row],[N° de facture]],réglement[Montant payé])</f>
        <v>0</v>
      </c>
      <c r="J51" s="41">
        <f>Listedettes[[#This Row],[Montant à payer]]-Listedettes[[#This Row],[Montant payé]]</f>
        <v>140</v>
      </c>
      <c r="K51" s="36">
        <f>Listedettes[[#This Row],[Date de facture]]+Listedettes[[#This Row],[Délai de règlement]]</f>
        <v>45415</v>
      </c>
      <c r="L51" s="35">
        <f ca="1">IF(Listedettes[[#This Row],[Solde]]=0,"",TODAY()-K51)</f>
        <v>296</v>
      </c>
      <c r="M51" s="35" t="str">
        <f ca="1">IF(Listedettes[[#This Row],[Retard]]="","payé",IF(L51&lt;=0,"non échue",IF(L51&lt;=30,"échue[1,30]",IF(L51&lt;=60,"échue[31,60]",IF(L51&lt;=90,"échue[61,90]","échue&gt;90")))))</f>
        <v>échue&gt;90</v>
      </c>
      <c r="N51" s="40"/>
    </row>
    <row r="52" spans="1:14" ht="16.2">
      <c r="A52" s="34"/>
      <c r="C52" s="52" t="s">
        <v>115</v>
      </c>
      <c r="D52" s="53">
        <v>45386</v>
      </c>
      <c r="E52" s="37" t="s">
        <v>60</v>
      </c>
      <c r="F52" s="37" t="s">
        <v>54</v>
      </c>
      <c r="G52" s="37">
        <v>15</v>
      </c>
      <c r="H52" s="56">
        <v>900</v>
      </c>
      <c r="I52" s="44">
        <f>SUMIF(réglement[N° de facture],Listedettes[[#This Row],[N° de facture]],réglement[Montant payé])</f>
        <v>0</v>
      </c>
      <c r="J52" s="41">
        <f>Listedettes[[#This Row],[Montant à payer]]-Listedettes[[#This Row],[Montant payé]]</f>
        <v>900</v>
      </c>
      <c r="K52" s="36">
        <f>Listedettes[[#This Row],[Date de facture]]+Listedettes[[#This Row],[Délai de règlement]]</f>
        <v>45401</v>
      </c>
      <c r="L52" s="35">
        <f ca="1">IF(Listedettes[[#This Row],[Solde]]=0,"",TODAY()-K52)</f>
        <v>310</v>
      </c>
      <c r="M52" s="35" t="str">
        <f ca="1">IF(Listedettes[[#This Row],[Retard]]="","payé",IF(L52&lt;=0,"non échue",IF(L52&lt;=30,"échue[1,30]",IF(L52&lt;=60,"échue[31,60]",IF(L52&lt;=90,"échue[61,90]","échue&gt;90")))))</f>
        <v>échue&gt;90</v>
      </c>
      <c r="N52" s="40"/>
    </row>
    <row r="53" spans="1:14" ht="16.2">
      <c r="A53" s="34"/>
      <c r="C53" s="52" t="s">
        <v>116</v>
      </c>
      <c r="D53" s="53">
        <v>45337</v>
      </c>
      <c r="E53" s="37" t="s">
        <v>18</v>
      </c>
      <c r="F53" s="37" t="s">
        <v>6</v>
      </c>
      <c r="G53" s="37">
        <v>60</v>
      </c>
      <c r="H53" s="56">
        <v>200</v>
      </c>
      <c r="I53" s="44">
        <f>SUMIF(réglement[N° de facture],Listedettes[[#This Row],[N° de facture]],réglement[Montant payé])</f>
        <v>0</v>
      </c>
      <c r="J53" s="41">
        <f>Listedettes[[#This Row],[Montant à payer]]-Listedettes[[#This Row],[Montant payé]]</f>
        <v>200</v>
      </c>
      <c r="K53" s="36">
        <f>Listedettes[[#This Row],[Date de facture]]+Listedettes[[#This Row],[Délai de règlement]]</f>
        <v>45397</v>
      </c>
      <c r="L53" s="35">
        <f ca="1">IF(Listedettes[[#This Row],[Solde]]=0,"",TODAY()-K53)</f>
        <v>314</v>
      </c>
      <c r="M53" s="35" t="str">
        <f ca="1">IF(Listedettes[[#This Row],[Retard]]="","payé",IF(L53&lt;=0,"non échue",IF(L53&lt;=30,"échue[1,30]",IF(L53&lt;=60,"échue[31,60]",IF(L53&lt;=90,"échue[61,90]","échue&gt;90")))))</f>
        <v>échue&gt;90</v>
      </c>
      <c r="N53" s="40"/>
    </row>
    <row r="54" spans="1:14" ht="16.2">
      <c r="A54" s="34"/>
      <c r="C54" s="52" t="s">
        <v>117</v>
      </c>
      <c r="D54" s="53">
        <v>45366</v>
      </c>
      <c r="E54" s="37" t="s">
        <v>47</v>
      </c>
      <c r="F54" s="37" t="s">
        <v>40</v>
      </c>
      <c r="G54" s="37">
        <v>30</v>
      </c>
      <c r="H54" s="56">
        <v>200</v>
      </c>
      <c r="I54" s="44">
        <f>SUMIF(réglement[N° de facture],Listedettes[[#This Row],[N° de facture]],réglement[Montant payé])</f>
        <v>200</v>
      </c>
      <c r="J54" s="41">
        <f>Listedettes[[#This Row],[Montant à payer]]-Listedettes[[#This Row],[Montant payé]]</f>
        <v>0</v>
      </c>
      <c r="K54" s="36">
        <f>Listedettes[[#This Row],[Date de facture]]+Listedettes[[#This Row],[Délai de règlement]]</f>
        <v>45396</v>
      </c>
      <c r="L54" s="35" t="str">
        <f ca="1">IF(Listedettes[[#This Row],[Solde]]=0,"",TODAY()-K54)</f>
        <v/>
      </c>
      <c r="M54" s="35" t="str">
        <f ca="1">IF(Listedettes[[#This Row],[Retard]]="","payé",IF(L54&lt;=0,"non échue",IF(L54&lt;=30,"échue[1,30]",IF(L54&lt;=60,"échue[31,60]",IF(L54&lt;=90,"échue[61,90]","échue&gt;90")))))</f>
        <v>payé</v>
      </c>
      <c r="N54" s="40"/>
    </row>
    <row r="55" spans="1:14" ht="16.2">
      <c r="A55" s="34"/>
      <c r="C55" s="52" t="s">
        <v>200</v>
      </c>
      <c r="D55" s="53">
        <v>45354</v>
      </c>
      <c r="E55" s="37" t="s">
        <v>39</v>
      </c>
      <c r="F55" s="37" t="s">
        <v>40</v>
      </c>
      <c r="G55" s="37">
        <v>40</v>
      </c>
      <c r="H55" s="56">
        <v>1200</v>
      </c>
      <c r="I55" s="44">
        <f>SUMIF(réglement[N° de facture],Listedettes[[#This Row],[N° de facture]],réglement[Montant payé])</f>
        <v>0</v>
      </c>
      <c r="J55" s="41">
        <f>Listedettes[[#This Row],[Montant à payer]]-Listedettes[[#This Row],[Montant payé]]</f>
        <v>1200</v>
      </c>
      <c r="K55" s="36">
        <f>Listedettes[[#This Row],[Date de facture]]+Listedettes[[#This Row],[Délai de règlement]]</f>
        <v>45394</v>
      </c>
      <c r="L55" s="35">
        <f ca="1">IF(Listedettes[[#This Row],[Solde]]=0,"",TODAY()-K55)</f>
        <v>317</v>
      </c>
      <c r="M55" s="35" t="str">
        <f ca="1">IF(Listedettes[[#This Row],[Retard]]="","payé",IF(L55&lt;=0,"non échue",IF(L55&lt;=30,"échue[1,30]",IF(L55&lt;=60,"échue[31,60]",IF(L55&lt;=90,"échue[61,90]","échue&gt;90")))))</f>
        <v>échue&gt;90</v>
      </c>
      <c r="N55" s="40"/>
    </row>
    <row r="56" spans="1:14" ht="16.2">
      <c r="A56" s="34"/>
      <c r="C56" s="52" t="s">
        <v>119</v>
      </c>
      <c r="D56" s="53">
        <v>45355</v>
      </c>
      <c r="E56" s="37" t="s">
        <v>18</v>
      </c>
      <c r="F56" s="37" t="s">
        <v>6</v>
      </c>
      <c r="G56" s="37">
        <v>30</v>
      </c>
      <c r="H56" s="56">
        <v>1500</v>
      </c>
      <c r="I56" s="44">
        <f>SUMIF(réglement[N° de facture],Listedettes[[#This Row],[N° de facture]],réglement[Montant payé])</f>
        <v>0</v>
      </c>
      <c r="J56" s="41">
        <f>Listedettes[[#This Row],[Montant à payer]]-Listedettes[[#This Row],[Montant payé]]</f>
        <v>1500</v>
      </c>
      <c r="K56" s="36">
        <f>Listedettes[[#This Row],[Date de facture]]+Listedettes[[#This Row],[Délai de règlement]]</f>
        <v>45385</v>
      </c>
      <c r="L56" s="35">
        <f ca="1">IF(Listedettes[[#This Row],[Solde]]=0,"",TODAY()-K56)</f>
        <v>326</v>
      </c>
      <c r="M56" s="35" t="str">
        <f ca="1">IF(Listedettes[[#This Row],[Retard]]="","payé",IF(L56&lt;=0,"non échue",IF(L56&lt;=30,"échue[1,30]",IF(L56&lt;=60,"échue[31,60]",IF(L56&lt;=90,"échue[61,90]","échue&gt;90")))))</f>
        <v>échue&gt;90</v>
      </c>
      <c r="N56" s="40"/>
    </row>
    <row r="57" spans="1:14" ht="16.2">
      <c r="A57" s="34"/>
      <c r="C57" s="52" t="s">
        <v>120</v>
      </c>
      <c r="D57" s="53">
        <v>45324</v>
      </c>
      <c r="E57" s="37" t="s">
        <v>56</v>
      </c>
      <c r="F57" s="37" t="s">
        <v>54</v>
      </c>
      <c r="G57" s="37">
        <v>60</v>
      </c>
      <c r="H57" s="56">
        <v>780</v>
      </c>
      <c r="I57" s="44">
        <f>SUMIF(réglement[N° de facture],Listedettes[[#This Row],[N° de facture]],réglement[Montant payé])</f>
        <v>780</v>
      </c>
      <c r="J57" s="41">
        <f>Listedettes[[#This Row],[Montant à payer]]-Listedettes[[#This Row],[Montant payé]]</f>
        <v>0</v>
      </c>
      <c r="K57" s="36">
        <f>Listedettes[[#This Row],[Date de facture]]+Listedettes[[#This Row],[Délai de règlement]]</f>
        <v>45384</v>
      </c>
      <c r="L57" s="35" t="str">
        <f ca="1">IF(Listedettes[[#This Row],[Solde]]=0,"",TODAY()-K57)</f>
        <v/>
      </c>
      <c r="M57" s="35" t="str">
        <f ca="1">IF(Listedettes[[#This Row],[Retard]]="","payé",IF(L57&lt;=0,"non échue",IF(L57&lt;=30,"échue[1,30]",IF(L57&lt;=60,"échue[31,60]",IF(L57&lt;=90,"échue[61,90]","échue&gt;90")))))</f>
        <v>payé</v>
      </c>
      <c r="N57" s="40"/>
    </row>
    <row r="58" spans="1:14" ht="16.2">
      <c r="A58" s="34"/>
      <c r="C58" s="52" t="s">
        <v>94</v>
      </c>
      <c r="D58" s="53">
        <v>45355</v>
      </c>
      <c r="E58" s="37" t="s">
        <v>22</v>
      </c>
      <c r="F58" s="37" t="s">
        <v>23</v>
      </c>
      <c r="G58" s="37">
        <v>30</v>
      </c>
      <c r="H58" s="56">
        <v>2000</v>
      </c>
      <c r="I58" s="44">
        <f>SUMIF(réglement[N° de facture],Listedettes[[#This Row],[N° de facture]],réglement[Montant payé])</f>
        <v>200</v>
      </c>
      <c r="J58" s="41">
        <f>Listedettes[[#This Row],[Montant à payer]]-Listedettes[[#This Row],[Montant payé]]</f>
        <v>1800</v>
      </c>
      <c r="K58" s="36">
        <f>Listedettes[[#This Row],[Date de facture]]+Listedettes[[#This Row],[Délai de règlement]]</f>
        <v>45385</v>
      </c>
      <c r="L58" s="35">
        <f ca="1">IF(Listedettes[[#This Row],[Solde]]=0,"",TODAY()-K58)</f>
        <v>326</v>
      </c>
      <c r="M58" s="35" t="str">
        <f ca="1">IF(Listedettes[[#This Row],[Retard]]="","payé",IF(L58&lt;=0,"non échue",IF(L58&lt;=30,"échue[1,30]",IF(L58&lt;=60,"échue[31,60]",IF(L58&lt;=90,"échue[61,90]","échue&gt;90")))))</f>
        <v>échue&gt;90</v>
      </c>
      <c r="N58" s="40"/>
    </row>
    <row r="59" spans="1:14" ht="16.2">
      <c r="A59" s="34"/>
      <c r="C59" s="52" t="s">
        <v>121</v>
      </c>
      <c r="D59" s="53">
        <v>45354</v>
      </c>
      <c r="E59" s="37" t="s">
        <v>35</v>
      </c>
      <c r="F59" s="37" t="s">
        <v>23</v>
      </c>
      <c r="G59" s="37">
        <v>30</v>
      </c>
      <c r="H59" s="56">
        <v>600</v>
      </c>
      <c r="I59" s="44">
        <f>SUMIF(réglement[N° de facture],Listedettes[[#This Row],[N° de facture]],réglement[Montant payé])</f>
        <v>600</v>
      </c>
      <c r="J59" s="41">
        <f>Listedettes[[#This Row],[Montant à payer]]-Listedettes[[#This Row],[Montant payé]]</f>
        <v>0</v>
      </c>
      <c r="K59" s="36">
        <f>Listedettes[[#This Row],[Date de facture]]+Listedettes[[#This Row],[Délai de règlement]]</f>
        <v>45384</v>
      </c>
      <c r="L59" s="35" t="str">
        <f ca="1">IF(Listedettes[[#This Row],[Solde]]=0,"",TODAY()-K59)</f>
        <v/>
      </c>
      <c r="M59" s="35" t="str">
        <f ca="1">IF(Listedettes[[#This Row],[Retard]]="","payé",IF(L59&lt;=0,"non échue",IF(L59&lt;=30,"échue[1,30]",IF(L59&lt;=60,"échue[31,60]",IF(L59&lt;=90,"échue[61,90]","échue&gt;90")))))</f>
        <v>payé</v>
      </c>
      <c r="N59" s="40"/>
    </row>
    <row r="60" spans="1:14" ht="16.2">
      <c r="A60" s="34"/>
      <c r="C60" s="52" t="s">
        <v>122</v>
      </c>
      <c r="D60" s="53">
        <v>45353</v>
      </c>
      <c r="E60" s="37" t="s">
        <v>44</v>
      </c>
      <c r="F60" s="37" t="s">
        <v>40</v>
      </c>
      <c r="G60" s="37">
        <v>30</v>
      </c>
      <c r="H60" s="56">
        <v>900</v>
      </c>
      <c r="I60" s="44">
        <f>SUMIF(réglement[N° de facture],Listedettes[[#This Row],[N° de facture]],réglement[Montant payé])</f>
        <v>900</v>
      </c>
      <c r="J60" s="41">
        <f>Listedettes[[#This Row],[Montant à payer]]-Listedettes[[#This Row],[Montant payé]]</f>
        <v>0</v>
      </c>
      <c r="K60" s="36">
        <f>Listedettes[[#This Row],[Date de facture]]+Listedettes[[#This Row],[Délai de règlement]]</f>
        <v>45383</v>
      </c>
      <c r="L60" s="35" t="str">
        <f ca="1">IF(Listedettes[[#This Row],[Solde]]=0,"",TODAY()-K60)</f>
        <v/>
      </c>
      <c r="M60" s="35" t="str">
        <f ca="1">IF(Listedettes[[#This Row],[Retard]]="","payé",IF(L60&lt;=0,"non échue",IF(L60&lt;=30,"échue[1,30]",IF(L60&lt;=60,"échue[31,60]",IF(L60&lt;=90,"échue[61,90]","échue&gt;90")))))</f>
        <v>payé</v>
      </c>
      <c r="N60" s="40"/>
    </row>
    <row r="61" spans="1:14" ht="16.2">
      <c r="A61" s="34"/>
      <c r="C61" s="52" t="s">
        <v>123</v>
      </c>
      <c r="D61" s="53">
        <v>45325</v>
      </c>
      <c r="E61" s="37" t="s">
        <v>51</v>
      </c>
      <c r="F61" s="37" t="s">
        <v>40</v>
      </c>
      <c r="G61" s="37">
        <v>50</v>
      </c>
      <c r="H61" s="56">
        <v>120</v>
      </c>
      <c r="I61" s="44">
        <f>SUMIF(réglement[N° de facture],Listedettes[[#This Row],[N° de facture]],réglement[Montant payé])</f>
        <v>0</v>
      </c>
      <c r="J61" s="41">
        <f>Listedettes[[#This Row],[Montant à payer]]-Listedettes[[#This Row],[Montant payé]]</f>
        <v>120</v>
      </c>
      <c r="K61" s="36">
        <f>Listedettes[[#This Row],[Date de facture]]+Listedettes[[#This Row],[Délai de règlement]]</f>
        <v>45375</v>
      </c>
      <c r="L61" s="35">
        <f ca="1">IF(Listedettes[[#This Row],[Solde]]=0,"",TODAY()-K61)</f>
        <v>336</v>
      </c>
      <c r="M61" s="35" t="str">
        <f ca="1">IF(Listedettes[[#This Row],[Retard]]="","payé",IF(L61&lt;=0,"non échue",IF(L61&lt;=30,"échue[1,30]",IF(L61&lt;=60,"échue[31,60]",IF(L61&lt;=90,"échue[61,90]","échue&gt;90")))))</f>
        <v>échue&gt;90</v>
      </c>
      <c r="N61" s="40"/>
    </row>
    <row r="62" spans="1:14" ht="16.2">
      <c r="A62" s="34"/>
      <c r="C62" s="52" t="s">
        <v>124</v>
      </c>
      <c r="D62" s="53">
        <v>45344</v>
      </c>
      <c r="E62" s="37" t="s">
        <v>64</v>
      </c>
      <c r="F62" s="37" t="s">
        <v>54</v>
      </c>
      <c r="G62" s="37">
        <v>30</v>
      </c>
      <c r="H62" s="56">
        <v>1500</v>
      </c>
      <c r="I62" s="44">
        <f>SUMIF(réglement[N° de facture],Listedettes[[#This Row],[N° de facture]],réglement[Montant payé])</f>
        <v>200</v>
      </c>
      <c r="J62" s="41">
        <f>Listedettes[[#This Row],[Montant à payer]]-Listedettes[[#This Row],[Montant payé]]</f>
        <v>1300</v>
      </c>
      <c r="K62" s="36">
        <f>Listedettes[[#This Row],[Date de facture]]+Listedettes[[#This Row],[Délai de règlement]]</f>
        <v>45374</v>
      </c>
      <c r="L62" s="35">
        <f ca="1">IF(Listedettes[[#This Row],[Solde]]=0,"",TODAY()-K62)</f>
        <v>337</v>
      </c>
      <c r="M62" s="35" t="str">
        <f ca="1">IF(Listedettes[[#This Row],[Retard]]="","payé",IF(L62&lt;=0,"non échue",IF(L62&lt;=30,"échue[1,30]",IF(L62&lt;=60,"échue[31,60]",IF(L62&lt;=90,"échue[61,90]","échue&gt;90")))))</f>
        <v>échue&gt;90</v>
      </c>
      <c r="N62" s="40"/>
    </row>
    <row r="63" spans="1:14" ht="16.2">
      <c r="A63" s="34"/>
      <c r="C63" s="52" t="s">
        <v>125</v>
      </c>
      <c r="D63" s="53">
        <v>45324</v>
      </c>
      <c r="E63" s="37" t="s">
        <v>14</v>
      </c>
      <c r="F63" s="37" t="s">
        <v>6</v>
      </c>
      <c r="G63" s="37">
        <v>45</v>
      </c>
      <c r="H63" s="56">
        <v>1300</v>
      </c>
      <c r="I63" s="44">
        <f>SUMIF(réglement[N° de facture],Listedettes[[#This Row],[N° de facture]],réglement[Montant payé])</f>
        <v>700</v>
      </c>
      <c r="J63" s="41">
        <f>Listedettes[[#This Row],[Montant à payer]]-Listedettes[[#This Row],[Montant payé]]</f>
        <v>600</v>
      </c>
      <c r="K63" s="36">
        <f>Listedettes[[#This Row],[Date de facture]]+Listedettes[[#This Row],[Délai de règlement]]</f>
        <v>45369</v>
      </c>
      <c r="L63" s="35">
        <f ca="1">IF(Listedettes[[#This Row],[Solde]]=0,"",TODAY()-K63)</f>
        <v>342</v>
      </c>
      <c r="M63" s="35" t="str">
        <f ca="1">IF(Listedettes[[#This Row],[Retard]]="","payé",IF(L63&lt;=0,"non échue",IF(L63&lt;=30,"échue[1,30]",IF(L63&lt;=60,"échue[31,60]",IF(L63&lt;=90,"échue[61,90]","échue&gt;90")))))</f>
        <v>échue&gt;90</v>
      </c>
      <c r="N63" s="40"/>
    </row>
    <row r="64" spans="1:14" ht="16.2">
      <c r="A64" s="34"/>
      <c r="C64" s="52" t="s">
        <v>126</v>
      </c>
      <c r="D64" s="53">
        <v>45324</v>
      </c>
      <c r="E64" s="37" t="s">
        <v>39</v>
      </c>
      <c r="F64" s="37" t="s">
        <v>40</v>
      </c>
      <c r="G64" s="37">
        <v>40</v>
      </c>
      <c r="H64" s="56">
        <v>460</v>
      </c>
      <c r="I64" s="44">
        <f>SUMIF(réglement[N° de facture],Listedettes[[#This Row],[N° de facture]],réglement[Montant payé])</f>
        <v>100</v>
      </c>
      <c r="J64" s="41">
        <f>Listedettes[[#This Row],[Montant à payer]]-Listedettes[[#This Row],[Montant payé]]</f>
        <v>360</v>
      </c>
      <c r="K64" s="36">
        <f>Listedettes[[#This Row],[Date de facture]]+Listedettes[[#This Row],[Délai de règlement]]</f>
        <v>45364</v>
      </c>
      <c r="L64" s="35">
        <f ca="1">IF(Listedettes[[#This Row],[Solde]]=0,"",TODAY()-K64)</f>
        <v>347</v>
      </c>
      <c r="M64" s="35" t="str">
        <f ca="1">IF(Listedettes[[#This Row],[Retard]]="","payé",IF(L64&lt;=0,"non échue",IF(L64&lt;=30,"échue[1,30]",IF(L64&lt;=60,"échue[31,60]",IF(L64&lt;=90,"échue[61,90]","échue&gt;90")))))</f>
        <v>échue&gt;90</v>
      </c>
      <c r="N64" s="40"/>
    </row>
    <row r="65" spans="1:14" ht="16.2">
      <c r="A65" s="34"/>
      <c r="C65" s="52" t="s">
        <v>127</v>
      </c>
      <c r="D65" s="53">
        <v>45295</v>
      </c>
      <c r="E65" s="37" t="s">
        <v>10</v>
      </c>
      <c r="F65" s="37" t="s">
        <v>6</v>
      </c>
      <c r="G65" s="37">
        <v>60</v>
      </c>
      <c r="H65" s="56">
        <v>750</v>
      </c>
      <c r="I65" s="44">
        <f>SUMIF(réglement[N° de facture],Listedettes[[#This Row],[N° de facture]],réglement[Montant payé])</f>
        <v>150</v>
      </c>
      <c r="J65" s="41">
        <f>Listedettes[[#This Row],[Montant à payer]]-Listedettes[[#This Row],[Montant payé]]</f>
        <v>600</v>
      </c>
      <c r="K65" s="36">
        <f>Listedettes[[#This Row],[Date de facture]]+Listedettes[[#This Row],[Délai de règlement]]</f>
        <v>45355</v>
      </c>
      <c r="L65" s="35">
        <f ca="1">IF(Listedettes[[#This Row],[Solde]]=0,"",TODAY()-K65)</f>
        <v>356</v>
      </c>
      <c r="M65" s="35" t="str">
        <f ca="1">IF(Listedettes[[#This Row],[Retard]]="","payé",IF(L65&lt;=0,"non échue",IF(L65&lt;=30,"échue[1,30]",IF(L65&lt;=60,"échue[31,60]",IF(L65&lt;=90,"échue[61,90]","échue&gt;90")))))</f>
        <v>échue&gt;90</v>
      </c>
      <c r="N65" s="40"/>
    </row>
    <row r="66" spans="1:14" ht="16.2">
      <c r="A66" s="34"/>
      <c r="C66" s="52" t="s">
        <v>128</v>
      </c>
      <c r="D66" s="53">
        <v>45304</v>
      </c>
      <c r="E66" s="37" t="s">
        <v>39</v>
      </c>
      <c r="F66" s="37" t="s">
        <v>40</v>
      </c>
      <c r="G66" s="37">
        <v>45</v>
      </c>
      <c r="H66" s="56">
        <v>1400</v>
      </c>
      <c r="I66" s="44">
        <f>SUMIF(réglement[N° de facture],Listedettes[[#This Row],[N° de facture]],réglement[Montant payé])</f>
        <v>1400</v>
      </c>
      <c r="J66" s="41">
        <f>Listedettes[[#This Row],[Montant à payer]]-Listedettes[[#This Row],[Montant payé]]</f>
        <v>0</v>
      </c>
      <c r="K66" s="36">
        <f>Listedettes[[#This Row],[Date de facture]]+Listedettes[[#This Row],[Délai de règlement]]</f>
        <v>45349</v>
      </c>
      <c r="L66" s="35" t="str">
        <f ca="1">IF(Listedettes[[#This Row],[Solde]]=0,"",TODAY()-K66)</f>
        <v/>
      </c>
      <c r="M66" s="35" t="str">
        <f ca="1">IF(Listedettes[[#This Row],[Retard]]="","payé",IF(L66&lt;=0,"non échue",IF(L66&lt;=30,"échue[1,30]",IF(L66&lt;=60,"échue[31,60]",IF(L66&lt;=90,"échue[61,90]","échue&gt;90")))))</f>
        <v>payé</v>
      </c>
      <c r="N66" s="40"/>
    </row>
    <row r="67" spans="1:14" ht="16.2">
      <c r="A67" s="34"/>
      <c r="C67" s="52" t="s">
        <v>129</v>
      </c>
      <c r="D67" s="53">
        <v>45311</v>
      </c>
      <c r="E67" s="37" t="s">
        <v>56</v>
      </c>
      <c r="F67" s="37" t="s">
        <v>54</v>
      </c>
      <c r="G67" s="37">
        <v>30</v>
      </c>
      <c r="H67" s="56">
        <v>750</v>
      </c>
      <c r="I67" s="44">
        <f>SUMIF(réglement[N° de facture],Listedettes[[#This Row],[N° de facture]],réglement[Montant payé])</f>
        <v>750</v>
      </c>
      <c r="J67" s="41">
        <f>Listedettes[[#This Row],[Montant à payer]]-Listedettes[[#This Row],[Montant payé]]</f>
        <v>0</v>
      </c>
      <c r="K67" s="36">
        <f>Listedettes[[#This Row],[Date de facture]]+Listedettes[[#This Row],[Délai de règlement]]</f>
        <v>45341</v>
      </c>
      <c r="L67" s="35" t="str">
        <f ca="1">IF(Listedettes[[#This Row],[Solde]]=0,"",TODAY()-K67)</f>
        <v/>
      </c>
      <c r="M67" s="35" t="str">
        <f ca="1">IF(Listedettes[[#This Row],[Retard]]="","payé",IF(L67&lt;=0,"non échue",IF(L67&lt;=30,"échue[1,30]",IF(L67&lt;=60,"échue[31,60]",IF(L67&lt;=90,"échue[61,90]","échue&gt;90")))))</f>
        <v>payé</v>
      </c>
      <c r="N67" s="40"/>
    </row>
    <row r="68" spans="1:14" ht="16.2">
      <c r="A68" s="34"/>
      <c r="C68" s="52" t="s">
        <v>130</v>
      </c>
      <c r="D68" s="53">
        <v>45303</v>
      </c>
      <c r="E68" s="37" t="s">
        <v>64</v>
      </c>
      <c r="F68" s="37" t="s">
        <v>54</v>
      </c>
      <c r="G68" s="37">
        <v>30</v>
      </c>
      <c r="H68" s="56">
        <v>200</v>
      </c>
      <c r="I68" s="44">
        <f>SUMIF(réglement[N° de facture],Listedettes[[#This Row],[N° de facture]],réglement[Montant payé])</f>
        <v>0</v>
      </c>
      <c r="J68" s="41">
        <f>Listedettes[[#This Row],[Montant à payer]]-Listedettes[[#This Row],[Montant payé]]</f>
        <v>200</v>
      </c>
      <c r="K68" s="36">
        <f>Listedettes[[#This Row],[Date de facture]]+Listedettes[[#This Row],[Délai de règlement]]</f>
        <v>45333</v>
      </c>
      <c r="L68" s="35">
        <f ca="1">IF(Listedettes[[#This Row],[Solde]]=0,"",TODAY()-K68)</f>
        <v>378</v>
      </c>
      <c r="M68" s="35" t="str">
        <f ca="1">IF(Listedettes[[#This Row],[Retard]]="","payé",IF(L68&lt;=0,"non échue",IF(L68&lt;=30,"échue[1,30]",IF(L68&lt;=60,"échue[31,60]",IF(L68&lt;=90,"échue[61,90]","échue&gt;90")))))</f>
        <v>échue&gt;90</v>
      </c>
      <c r="N68" s="40"/>
    </row>
    <row r="69" spans="1:14" ht="16.2">
      <c r="A69" s="34"/>
      <c r="C69" s="52" t="s">
        <v>131</v>
      </c>
      <c r="D69" s="53">
        <v>45611</v>
      </c>
      <c r="E69" s="37" t="s">
        <v>10</v>
      </c>
      <c r="F69" s="37" t="s">
        <v>6</v>
      </c>
      <c r="G69" s="37">
        <v>35</v>
      </c>
      <c r="H69" s="56">
        <v>1200</v>
      </c>
      <c r="I69" s="44">
        <f>SUMIF(réglement[N° de facture],Listedettes[[#This Row],[N° de facture]],réglement[Montant payé])</f>
        <v>200</v>
      </c>
      <c r="J69" s="41">
        <f>Listedettes[[#This Row],[Montant à payer]]-Listedettes[[#This Row],[Montant payé]]</f>
        <v>1000</v>
      </c>
      <c r="K69" s="36">
        <f>Listedettes[[#This Row],[Date de facture]]+Listedettes[[#This Row],[Délai de règlement]]</f>
        <v>45646</v>
      </c>
      <c r="L69" s="35">
        <f ca="1">IF(Listedettes[[#This Row],[Solde]]=0,"",TODAY()-K69)</f>
        <v>65</v>
      </c>
      <c r="M69" s="35" t="str">
        <f ca="1">IF(Listedettes[[#This Row],[Retard]]="","payé",IF(L69&lt;=0,"non échue",IF(L69&lt;=30,"échue[1,30]",IF(L69&lt;=60,"échue[31,60]",IF(L69&lt;=90,"échue[61,90]","échue&gt;90")))))</f>
        <v>échue[61,90]</v>
      </c>
      <c r="N69" s="40"/>
    </row>
    <row r="70" spans="1:14" ht="16.2">
      <c r="A70" s="34"/>
      <c r="C70" s="52" t="s">
        <v>132</v>
      </c>
      <c r="D70" s="53">
        <v>45386</v>
      </c>
      <c r="E70" s="37" t="s">
        <v>53</v>
      </c>
      <c r="F70" s="37" t="s">
        <v>54</v>
      </c>
      <c r="G70" s="37">
        <v>30</v>
      </c>
      <c r="H70" s="56">
        <v>140</v>
      </c>
      <c r="I70" s="44">
        <f>SUMIF(réglement[N° de facture],Listedettes[[#This Row],[N° de facture]],réglement[Montant payé])</f>
        <v>140</v>
      </c>
      <c r="J70" s="41">
        <f>Listedettes[[#This Row],[Montant à payer]]-Listedettes[[#This Row],[Montant payé]]</f>
        <v>0</v>
      </c>
      <c r="K70" s="36">
        <f>Listedettes[[#This Row],[Date de facture]]+Listedettes[[#This Row],[Délai de règlement]]</f>
        <v>45416</v>
      </c>
      <c r="L70" s="35" t="str">
        <f ca="1">IF(Listedettes[[#This Row],[Solde]]=0,"",TODAY()-K70)</f>
        <v/>
      </c>
      <c r="M70" s="35" t="str">
        <f ca="1">IF(Listedettes[[#This Row],[Retard]]="","payé",IF(L70&lt;=0,"non échue",IF(L70&lt;=30,"échue[1,30]",IF(L70&lt;=60,"échue[31,60]",IF(L70&lt;=90,"échue[61,90]","échue&gt;90")))))</f>
        <v>payé</v>
      </c>
      <c r="N70" s="40"/>
    </row>
    <row r="71" spans="1:14" ht="16.2">
      <c r="A71" s="34"/>
      <c r="C71" s="52" t="s">
        <v>133</v>
      </c>
      <c r="D71" s="53">
        <v>45427</v>
      </c>
      <c r="E71" s="37" t="s">
        <v>64</v>
      </c>
      <c r="F71" s="37" t="s">
        <v>54</v>
      </c>
      <c r="G71" s="37">
        <v>45</v>
      </c>
      <c r="H71" s="56">
        <v>150</v>
      </c>
      <c r="I71" s="44">
        <f>SUMIF(réglement[N° de facture],Listedettes[[#This Row],[N° de facture]],réglement[Montant payé])</f>
        <v>150</v>
      </c>
      <c r="J71" s="41">
        <f>Listedettes[[#This Row],[Montant à payer]]-Listedettes[[#This Row],[Montant payé]]</f>
        <v>0</v>
      </c>
      <c r="K71" s="36">
        <f>Listedettes[[#This Row],[Date de facture]]+Listedettes[[#This Row],[Délai de règlement]]</f>
        <v>45472</v>
      </c>
      <c r="L71" s="35" t="str">
        <f ca="1">IF(Listedettes[[#This Row],[Solde]]=0,"",TODAY()-K71)</f>
        <v/>
      </c>
      <c r="M71" s="35" t="str">
        <f ca="1">IF(Listedettes[[#This Row],[Retard]]="","payé",IF(L71&lt;=0,"non échue",IF(L71&lt;=30,"échue[1,30]",IF(L71&lt;=60,"échue[31,60]",IF(L71&lt;=90,"échue[61,90]","échue&gt;90")))))</f>
        <v>payé</v>
      </c>
      <c r="N71" s="40"/>
    </row>
    <row r="72" spans="1:14" ht="16.2">
      <c r="A72" s="34"/>
      <c r="C72" s="52" t="s">
        <v>134</v>
      </c>
      <c r="D72" s="53">
        <v>45402</v>
      </c>
      <c r="E72" s="37" t="s">
        <v>35</v>
      </c>
      <c r="F72" s="37" t="s">
        <v>23</v>
      </c>
      <c r="G72" s="37">
        <v>60</v>
      </c>
      <c r="H72" s="56">
        <v>100</v>
      </c>
      <c r="I72" s="44">
        <f>SUMIF(réglement[N° de facture],Listedettes[[#This Row],[N° de facture]],réglement[Montant payé])</f>
        <v>100</v>
      </c>
      <c r="J72" s="41">
        <f>Listedettes[[#This Row],[Montant à payer]]-Listedettes[[#This Row],[Montant payé]]</f>
        <v>0</v>
      </c>
      <c r="K72" s="36">
        <f>Listedettes[[#This Row],[Date de facture]]+Listedettes[[#This Row],[Délai de règlement]]</f>
        <v>45462</v>
      </c>
      <c r="L72" s="35" t="str">
        <f ca="1">IF(Listedettes[[#This Row],[Solde]]=0,"",TODAY()-K72)</f>
        <v/>
      </c>
      <c r="M72" s="35" t="str">
        <f ca="1">IF(Listedettes[[#This Row],[Retard]]="","payé",IF(L72&lt;=0,"non échue",IF(L72&lt;=30,"échue[1,30]",IF(L72&lt;=60,"échue[31,60]",IF(L72&lt;=90,"échue[61,90]","échue&gt;90")))))</f>
        <v>payé</v>
      </c>
      <c r="N72" s="40"/>
    </row>
    <row r="73" spans="1:14" ht="16.2">
      <c r="A73" s="34"/>
      <c r="C73" s="52" t="s">
        <v>135</v>
      </c>
      <c r="D73" s="53">
        <v>45384</v>
      </c>
      <c r="E73" s="37" t="s">
        <v>10</v>
      </c>
      <c r="F73" s="37" t="s">
        <v>6</v>
      </c>
      <c r="G73" s="37">
        <v>30</v>
      </c>
      <c r="H73" s="56">
        <v>500</v>
      </c>
      <c r="I73" s="44">
        <f>SUMIF(réglement[N° de facture],Listedettes[[#This Row],[N° de facture]],réglement[Montant payé])</f>
        <v>500</v>
      </c>
      <c r="J73" s="41">
        <f>Listedettes[[#This Row],[Montant à payer]]-Listedettes[[#This Row],[Montant payé]]</f>
        <v>0</v>
      </c>
      <c r="K73" s="36">
        <f>Listedettes[[#This Row],[Date de facture]]+Listedettes[[#This Row],[Délai de règlement]]</f>
        <v>45414</v>
      </c>
      <c r="L73" s="35" t="str">
        <f ca="1">IF(Listedettes[[#This Row],[Solde]]=0,"",TODAY()-K73)</f>
        <v/>
      </c>
      <c r="M73" s="35" t="str">
        <f ca="1">IF(Listedettes[[#This Row],[Retard]]="","payé",IF(L73&lt;=0,"non échue",IF(L73&lt;=30,"échue[1,30]",IF(L73&lt;=60,"échue[31,60]",IF(L73&lt;=90,"échue[61,90]","échue&gt;90")))))</f>
        <v>payé</v>
      </c>
      <c r="N73" s="40"/>
    </row>
    <row r="74" spans="1:14" ht="16.2">
      <c r="A74" s="34"/>
      <c r="C74" s="52" t="s">
        <v>136</v>
      </c>
      <c r="D74" s="53">
        <v>45354</v>
      </c>
      <c r="E74" s="37" t="s">
        <v>60</v>
      </c>
      <c r="F74" s="37" t="s">
        <v>54</v>
      </c>
      <c r="G74" s="37">
        <v>30</v>
      </c>
      <c r="H74" s="56">
        <v>800</v>
      </c>
      <c r="I74" s="44">
        <f>SUMIF(réglement[N° de facture],Listedettes[[#This Row],[N° de facture]],réglement[Montant payé])</f>
        <v>800</v>
      </c>
      <c r="J74" s="41">
        <f>Listedettes[[#This Row],[Montant à payer]]-Listedettes[[#This Row],[Montant payé]]</f>
        <v>0</v>
      </c>
      <c r="K74" s="36">
        <f>Listedettes[[#This Row],[Date de facture]]+Listedettes[[#This Row],[Délai de règlement]]</f>
        <v>45384</v>
      </c>
      <c r="L74" s="35" t="str">
        <f ca="1">IF(Listedettes[[#This Row],[Solde]]=0,"",TODAY()-K74)</f>
        <v/>
      </c>
      <c r="M74" s="35" t="str">
        <f ca="1">IF(Listedettes[[#This Row],[Retard]]="","payé",IF(L74&lt;=0,"non échue",IF(L74&lt;=30,"échue[1,30]",IF(L74&lt;=60,"échue[31,60]",IF(L74&lt;=90,"échue[61,90]","échue&gt;90")))))</f>
        <v>payé</v>
      </c>
      <c r="N74" s="40"/>
    </row>
    <row r="75" spans="1:14" ht="16.2">
      <c r="A75" s="34"/>
      <c r="C75" s="52" t="s">
        <v>137</v>
      </c>
      <c r="D75" s="53">
        <v>45638</v>
      </c>
      <c r="E75" s="37" t="s">
        <v>27</v>
      </c>
      <c r="F75" s="37" t="s">
        <v>23</v>
      </c>
      <c r="G75" s="37">
        <v>30</v>
      </c>
      <c r="H75" s="56">
        <v>800</v>
      </c>
      <c r="I75" s="44">
        <f>SUMIF(réglement[N° de facture],Listedettes[[#This Row],[N° de facture]],réglement[Montant payé])</f>
        <v>800</v>
      </c>
      <c r="J75" s="41">
        <f>Listedettes[[#This Row],[Montant à payer]]-Listedettes[[#This Row],[Montant payé]]</f>
        <v>0</v>
      </c>
      <c r="K75" s="36">
        <f>Listedettes[[#This Row],[Date de facture]]+Listedettes[[#This Row],[Délai de règlement]]</f>
        <v>45668</v>
      </c>
      <c r="L75" s="35" t="str">
        <f ca="1">IF(Listedettes[[#This Row],[Solde]]=0,"",TODAY()-K75)</f>
        <v/>
      </c>
      <c r="M75" s="35" t="str">
        <f ca="1">IF(Listedettes[[#This Row],[Retard]]="","payé",IF(L75&lt;=0,"non échue",IF(L75&lt;=30,"échue[1,30]",IF(L75&lt;=60,"échue[31,60]",IF(L75&lt;=90,"échue[61,90]","échue&gt;90")))))</f>
        <v>payé</v>
      </c>
      <c r="N75" s="40"/>
    </row>
    <row r="76" spans="1:14" ht="16.2">
      <c r="A76" s="34"/>
      <c r="C76" s="52" t="s">
        <v>138</v>
      </c>
      <c r="D76" s="53">
        <v>45575</v>
      </c>
      <c r="E76" s="37" t="s">
        <v>51</v>
      </c>
      <c r="F76" s="37" t="s">
        <v>40</v>
      </c>
      <c r="G76" s="37">
        <v>60</v>
      </c>
      <c r="H76" s="56">
        <v>2000</v>
      </c>
      <c r="I76" s="44">
        <f>SUMIF(réglement[N° de facture],Listedettes[[#This Row],[N° de facture]],réglement[Montant payé])</f>
        <v>2000</v>
      </c>
      <c r="J76" s="41">
        <f>Listedettes[[#This Row],[Montant à payer]]-Listedettes[[#This Row],[Montant payé]]</f>
        <v>0</v>
      </c>
      <c r="K76" s="36">
        <f>Listedettes[[#This Row],[Date de facture]]+Listedettes[[#This Row],[Délai de règlement]]</f>
        <v>45635</v>
      </c>
      <c r="L76" s="35" t="str">
        <f ca="1">IF(Listedettes[[#This Row],[Solde]]=0,"",TODAY()-K76)</f>
        <v/>
      </c>
      <c r="M76" s="35" t="str">
        <f ca="1">IF(Listedettes[[#This Row],[Retard]]="","payé",IF(L76&lt;=0,"non échue",IF(L76&lt;=30,"échue[1,30]",IF(L76&lt;=60,"échue[31,60]",IF(L76&lt;=90,"échue[61,90]","échue&gt;90")))))</f>
        <v>payé</v>
      </c>
      <c r="N76" s="40"/>
    </row>
    <row r="77" spans="1:14" ht="16.2">
      <c r="A77" s="34"/>
      <c r="C77" s="52" t="s">
        <v>139</v>
      </c>
      <c r="D77" s="53">
        <v>45354</v>
      </c>
      <c r="E77" s="37" t="s">
        <v>47</v>
      </c>
      <c r="F77" s="37" t="s">
        <v>40</v>
      </c>
      <c r="G77" s="37">
        <v>35</v>
      </c>
      <c r="H77" s="56">
        <v>450</v>
      </c>
      <c r="I77" s="44">
        <f>SUMIF(réglement[N° de facture],Listedettes[[#This Row],[N° de facture]],réglement[Montant payé])</f>
        <v>450</v>
      </c>
      <c r="J77" s="41">
        <f>Listedettes[[#This Row],[Montant à payer]]-Listedettes[[#This Row],[Montant payé]]</f>
        <v>0</v>
      </c>
      <c r="K77" s="36">
        <f>Listedettes[[#This Row],[Date de facture]]+Listedettes[[#This Row],[Délai de règlement]]</f>
        <v>45389</v>
      </c>
      <c r="L77" s="35" t="str">
        <f ca="1">IF(Listedettes[[#This Row],[Solde]]=0,"",TODAY()-K77)</f>
        <v/>
      </c>
      <c r="M77" s="35" t="str">
        <f ca="1">IF(Listedettes[[#This Row],[Retard]]="","payé",IF(L77&lt;=0,"non échue",IF(L77&lt;=30,"échue[1,30]",IF(L77&lt;=60,"échue[31,60]",IF(L77&lt;=90,"échue[61,90]","échue&gt;90")))))</f>
        <v>payé</v>
      </c>
      <c r="N77" s="40"/>
    </row>
    <row r="78" spans="1:14" ht="16.2">
      <c r="A78" s="34"/>
      <c r="C78" s="52" t="s">
        <v>140</v>
      </c>
      <c r="D78" s="53">
        <v>45607</v>
      </c>
      <c r="E78" s="37" t="s">
        <v>14</v>
      </c>
      <c r="F78" s="37" t="s">
        <v>6</v>
      </c>
      <c r="G78" s="37">
        <v>60</v>
      </c>
      <c r="H78" s="56">
        <v>400</v>
      </c>
      <c r="I78" s="44">
        <f>SUMIF(réglement[N° de facture],Listedettes[[#This Row],[N° de facture]],réglement[Montant payé])</f>
        <v>400</v>
      </c>
      <c r="J78" s="41">
        <f>Listedettes[[#This Row],[Montant à payer]]-Listedettes[[#This Row],[Montant payé]]</f>
        <v>0</v>
      </c>
      <c r="K78" s="36">
        <f>Listedettes[[#This Row],[Date de facture]]+Listedettes[[#This Row],[Délai de règlement]]</f>
        <v>45667</v>
      </c>
      <c r="L78" s="35" t="str">
        <f ca="1">IF(Listedettes[[#This Row],[Solde]]=0,"",TODAY()-K78)</f>
        <v/>
      </c>
      <c r="M78" s="35" t="str">
        <f ca="1">IF(Listedettes[[#This Row],[Retard]]="","payé",IF(L78&lt;=0,"non échue",IF(L78&lt;=30,"échue[1,30]",IF(L78&lt;=60,"échue[31,60]",IF(L78&lt;=90,"échue[61,90]","échue&gt;90")))))</f>
        <v>payé</v>
      </c>
      <c r="N78" s="40"/>
    </row>
    <row r="79" spans="1:14" ht="16.2">
      <c r="A79" s="34"/>
      <c r="C79" s="52" t="s">
        <v>141</v>
      </c>
      <c r="D79" s="53">
        <v>45311</v>
      </c>
      <c r="E79" s="37" t="s">
        <v>39</v>
      </c>
      <c r="F79" s="37" t="s">
        <v>40</v>
      </c>
      <c r="G79" s="37">
        <v>40</v>
      </c>
      <c r="H79" s="56">
        <v>600</v>
      </c>
      <c r="I79" s="44">
        <f>SUMIF(réglement[N° de facture],Listedettes[[#This Row],[N° de facture]],réglement[Montant payé])</f>
        <v>600</v>
      </c>
      <c r="J79" s="41">
        <f>Listedettes[[#This Row],[Montant à payer]]-Listedettes[[#This Row],[Montant payé]]</f>
        <v>0</v>
      </c>
      <c r="K79" s="36">
        <f>Listedettes[[#This Row],[Date de facture]]+Listedettes[[#This Row],[Délai de règlement]]</f>
        <v>45351</v>
      </c>
      <c r="L79" s="35" t="str">
        <f ca="1">IF(Listedettes[[#This Row],[Solde]]=0,"",TODAY()-K79)</f>
        <v/>
      </c>
      <c r="M79" s="35" t="str">
        <f ca="1">IF(Listedettes[[#This Row],[Retard]]="","payé",IF(L79&lt;=0,"non échue",IF(L79&lt;=30,"échue[1,30]",IF(L79&lt;=60,"échue[31,60]",IF(L79&lt;=90,"échue[61,90]","échue&gt;90")))))</f>
        <v>payé</v>
      </c>
      <c r="N79" s="40"/>
    </row>
    <row r="80" spans="1:14" ht="16.2">
      <c r="A80" s="34"/>
      <c r="C80" s="52" t="s">
        <v>142</v>
      </c>
      <c r="D80" s="53">
        <v>45638</v>
      </c>
      <c r="E80" s="37" t="s">
        <v>44</v>
      </c>
      <c r="F80" s="37" t="s">
        <v>40</v>
      </c>
      <c r="G80" s="37">
        <v>30</v>
      </c>
      <c r="H80" s="56">
        <v>300</v>
      </c>
      <c r="I80" s="44">
        <f>SUMIF(réglement[N° de facture],Listedettes[[#This Row],[N° de facture]],réglement[Montant payé])</f>
        <v>300</v>
      </c>
      <c r="J80" s="41">
        <f>Listedettes[[#This Row],[Montant à payer]]-Listedettes[[#This Row],[Montant payé]]</f>
        <v>0</v>
      </c>
      <c r="K80" s="36">
        <f>Listedettes[[#This Row],[Date de facture]]+Listedettes[[#This Row],[Délai de règlement]]</f>
        <v>45668</v>
      </c>
      <c r="L80" s="35" t="str">
        <f ca="1">IF(Listedettes[[#This Row],[Solde]]=0,"",TODAY()-K80)</f>
        <v/>
      </c>
      <c r="M80" s="35" t="str">
        <f ca="1">IF(Listedettes[[#This Row],[Retard]]="","payé",IF(L80&lt;=0,"non échue",IF(L80&lt;=30,"échue[1,30]",IF(L80&lt;=60,"échue[31,60]",IF(L80&lt;=90,"échue[61,90]","échue&gt;90")))))</f>
        <v>payé</v>
      </c>
      <c r="N80" s="40"/>
    </row>
    <row r="81" spans="1:14" ht="16.2">
      <c r="A81" s="34"/>
      <c r="C81" s="52" t="s">
        <v>143</v>
      </c>
      <c r="D81" s="53">
        <v>45607</v>
      </c>
      <c r="E81" s="37" t="s">
        <v>53</v>
      </c>
      <c r="F81" s="37" t="s">
        <v>54</v>
      </c>
      <c r="G81" s="37">
        <v>60</v>
      </c>
      <c r="H81" s="56">
        <v>200</v>
      </c>
      <c r="I81" s="44">
        <f>SUMIF(réglement[N° de facture],Listedettes[[#This Row],[N° de facture]],réglement[Montant payé])</f>
        <v>200</v>
      </c>
      <c r="J81" s="41">
        <f>Listedettes[[#This Row],[Montant à payer]]-Listedettes[[#This Row],[Montant payé]]</f>
        <v>0</v>
      </c>
      <c r="K81" s="36">
        <f>Listedettes[[#This Row],[Date de facture]]+Listedettes[[#This Row],[Délai de règlement]]</f>
        <v>45667</v>
      </c>
      <c r="L81" s="35" t="str">
        <f ca="1">IF(Listedettes[[#This Row],[Solde]]=0,"",TODAY()-K81)</f>
        <v/>
      </c>
      <c r="M81" s="35" t="str">
        <f ca="1">IF(Listedettes[[#This Row],[Retard]]="","payé",IF(L81&lt;=0,"non échue",IF(L81&lt;=30,"échue[1,30]",IF(L81&lt;=60,"échue[31,60]",IF(L81&lt;=90,"échue[61,90]","échue&gt;90")))))</f>
        <v>payé</v>
      </c>
      <c r="N81" s="40"/>
    </row>
    <row r="82" spans="1:14" ht="16.2">
      <c r="A82" s="34"/>
      <c r="C82" s="52" t="s">
        <v>195</v>
      </c>
      <c r="D82" s="53">
        <v>45293</v>
      </c>
      <c r="E82" s="37" t="s">
        <v>31</v>
      </c>
      <c r="F82" s="37" t="s">
        <v>23</v>
      </c>
      <c r="G82" s="37">
        <v>30</v>
      </c>
      <c r="H82" s="56">
        <v>1000</v>
      </c>
      <c r="I82" s="44">
        <f>SUMIF(réglement[N° de facture],Listedettes[[#This Row],[N° de facture]],réglement[Montant payé])</f>
        <v>0</v>
      </c>
      <c r="J82" s="41">
        <f>Listedettes[[#This Row],[Montant à payer]]-Listedettes[[#This Row],[Montant payé]]</f>
        <v>1000</v>
      </c>
      <c r="K82" s="36">
        <f>Listedettes[[#This Row],[Date de facture]]+Listedettes[[#This Row],[Délai de règlement]]</f>
        <v>45323</v>
      </c>
      <c r="L82" s="35">
        <f ca="1">IF(Listedettes[[#This Row],[Solde]]=0,"",TODAY()-K82)</f>
        <v>388</v>
      </c>
      <c r="M82" s="35" t="str">
        <f ca="1">IF(Listedettes[[#This Row],[Retard]]="","payé",IF(L82&lt;=0,"non échue",IF(L82&lt;=30,"échue[1,30]",IF(L82&lt;=60,"échue[31,60]",IF(L82&lt;=90,"échue[61,90]","échue&gt;90")))))</f>
        <v>échue&gt;90</v>
      </c>
      <c r="N82" s="40"/>
    </row>
    <row r="83" spans="1:14" ht="16.2">
      <c r="A83" s="34"/>
      <c r="C83" s="52" t="s">
        <v>196</v>
      </c>
      <c r="D83" s="53">
        <v>45324</v>
      </c>
      <c r="E83" s="37" t="s">
        <v>60</v>
      </c>
      <c r="F83" s="37" t="s">
        <v>54</v>
      </c>
      <c r="G83" s="37">
        <v>15</v>
      </c>
      <c r="H83" s="56">
        <v>600</v>
      </c>
      <c r="I83" s="44">
        <f>SUMIF(réglement[N° de facture],Listedettes[[#This Row],[N° de facture]],réglement[Montant payé])</f>
        <v>0</v>
      </c>
      <c r="J83" s="41">
        <f>Listedettes[[#This Row],[Montant à payer]]-Listedettes[[#This Row],[Montant payé]]</f>
        <v>600</v>
      </c>
      <c r="K83" s="36">
        <f>Listedettes[[#This Row],[Date de facture]]+Listedettes[[#This Row],[Délai de règlement]]</f>
        <v>45339</v>
      </c>
      <c r="L83" s="35">
        <f ca="1">IF(Listedettes[[#This Row],[Solde]]=0,"",TODAY()-K83)</f>
        <v>372</v>
      </c>
      <c r="M83" s="35" t="str">
        <f ca="1">IF(Listedettes[[#This Row],[Retard]]="","payé",IF(L83&lt;=0,"non échue",IF(L83&lt;=30,"échue[1,30]",IF(L83&lt;=60,"échue[31,60]",IF(L83&lt;=90,"échue[61,90]","échue&gt;90")))))</f>
        <v>échue&gt;90</v>
      </c>
      <c r="N83" s="40"/>
    </row>
    <row r="84" spans="1:14" ht="16.2">
      <c r="A84" s="34"/>
      <c r="C84" s="52" t="s">
        <v>197</v>
      </c>
      <c r="D84" s="53">
        <v>45323</v>
      </c>
      <c r="E84" s="37" t="s">
        <v>10</v>
      </c>
      <c r="F84" s="37" t="s">
        <v>6</v>
      </c>
      <c r="G84" s="37">
        <v>30</v>
      </c>
      <c r="H84" s="56">
        <v>1300</v>
      </c>
      <c r="I84" s="44">
        <f>SUMIF(réglement[N° de facture],Listedettes[[#This Row],[N° de facture]],réglement[Montant payé])</f>
        <v>0</v>
      </c>
      <c r="J84" s="41">
        <f>Listedettes[[#This Row],[Montant à payer]]-Listedettes[[#This Row],[Montant payé]]</f>
        <v>1300</v>
      </c>
      <c r="K84" s="36">
        <f>Listedettes[[#This Row],[Date de facture]]+Listedettes[[#This Row],[Délai de règlement]]</f>
        <v>45353</v>
      </c>
      <c r="L84" s="35">
        <f ca="1">IF(Listedettes[[#This Row],[Solde]]=0,"",TODAY()-K84)</f>
        <v>358</v>
      </c>
      <c r="M84" s="35" t="str">
        <f ca="1">IF(Listedettes[[#This Row],[Retard]]="","payé",IF(L84&lt;=0,"non échue",IF(L84&lt;=30,"échue[1,30]",IF(L84&lt;=60,"échue[31,60]",IF(L84&lt;=90,"échue[61,90]","échue&gt;90")))))</f>
        <v>échue&gt;90</v>
      </c>
      <c r="N84" s="40"/>
    </row>
    <row r="85" spans="1:14" ht="16.2">
      <c r="A85" s="34"/>
      <c r="C85" s="52" t="s">
        <v>198</v>
      </c>
      <c r="D85" s="53">
        <v>45384</v>
      </c>
      <c r="E85" s="37" t="s">
        <v>27</v>
      </c>
      <c r="F85" s="37" t="s">
        <v>23</v>
      </c>
      <c r="G85" s="37">
        <v>15</v>
      </c>
      <c r="H85" s="56">
        <v>2000</v>
      </c>
      <c r="I85" s="44">
        <f>SUMIF(réglement[N° de facture],Listedettes[[#This Row],[N° de facture]],réglement[Montant payé])</f>
        <v>0</v>
      </c>
      <c r="J85" s="41">
        <f>Listedettes[[#This Row],[Montant à payer]]-Listedettes[[#This Row],[Montant payé]]</f>
        <v>2000</v>
      </c>
      <c r="K85" s="36">
        <f>Listedettes[[#This Row],[Date de facture]]+Listedettes[[#This Row],[Délai de règlement]]</f>
        <v>45399</v>
      </c>
      <c r="L85" s="35">
        <f ca="1">IF(Listedettes[[#This Row],[Solde]]=0,"",TODAY()-K85)</f>
        <v>312</v>
      </c>
      <c r="M85" s="35" t="str">
        <f ca="1">IF(Listedettes[[#This Row],[Retard]]="","payé",IF(L85&lt;=0,"non échue",IF(L85&lt;=30,"échue[1,30]",IF(L85&lt;=60,"échue[31,60]",IF(L85&lt;=90,"échue[61,90]","échue&gt;90")))))</f>
        <v>échue&gt;90</v>
      </c>
      <c r="N85" s="40"/>
    </row>
    <row r="86" spans="1:14" ht="16.2">
      <c r="A86" s="34"/>
      <c r="C86" s="52" t="s">
        <v>194</v>
      </c>
      <c r="D86" s="53">
        <v>45292</v>
      </c>
      <c r="E86" s="37" t="s">
        <v>64</v>
      </c>
      <c r="F86" s="37" t="s">
        <v>54</v>
      </c>
      <c r="G86" s="37">
        <v>20</v>
      </c>
      <c r="H86" s="56">
        <v>1000</v>
      </c>
      <c r="I86" s="44">
        <f>SUMIF(réglement[N° de facture],Listedettes[[#This Row],[N° de facture]],réglement[Montant payé])</f>
        <v>0</v>
      </c>
      <c r="J86" s="41">
        <f>Listedettes[[#This Row],[Montant à payer]]-Listedettes[[#This Row],[Montant payé]]</f>
        <v>1000</v>
      </c>
      <c r="K86" s="36">
        <f>Listedettes[[#This Row],[Date de facture]]+Listedettes[[#This Row],[Délai de règlement]]</f>
        <v>45312</v>
      </c>
      <c r="L86" s="35">
        <f ca="1">IF(Listedettes[[#This Row],[Solde]]=0,"",TODAY()-K86)</f>
        <v>399</v>
      </c>
      <c r="M86" s="35" t="str">
        <f ca="1">IF(Listedettes[[#This Row],[Retard]]="","payé",IF(L86&lt;=0,"non échue",IF(L86&lt;=30,"échue[1,30]",IF(L86&lt;=60,"échue[31,60]",IF(L86&lt;=90,"échue[61,90]","échue&gt;90")))))</f>
        <v>échue&gt;90</v>
      </c>
      <c r="N86" s="40"/>
    </row>
    <row r="87" spans="1:14" ht="16.2">
      <c r="A87" s="34"/>
      <c r="C87" s="52" t="s">
        <v>199</v>
      </c>
      <c r="D87" s="53">
        <v>45414</v>
      </c>
      <c r="E87" s="37" t="s">
        <v>51</v>
      </c>
      <c r="F87" s="37" t="s">
        <v>40</v>
      </c>
      <c r="G87" s="37">
        <v>5</v>
      </c>
      <c r="H87" s="56">
        <v>400</v>
      </c>
      <c r="I87" s="44">
        <f>SUMIF(réglement[N° de facture],Listedettes[[#This Row],[N° de facture]],réglement[Montant payé])</f>
        <v>0</v>
      </c>
      <c r="J87" s="41">
        <f>Listedettes[[#This Row],[Montant à payer]]-Listedettes[[#This Row],[Montant payé]]</f>
        <v>400</v>
      </c>
      <c r="K87" s="36">
        <f>Listedettes[[#This Row],[Date de facture]]+Listedettes[[#This Row],[Délai de règlement]]</f>
        <v>45419</v>
      </c>
      <c r="L87" s="35">
        <f ca="1">IF(Listedettes[[#This Row],[Solde]]=0,"",TODAY()-K87)</f>
        <v>292</v>
      </c>
      <c r="M87" s="35" t="str">
        <f ca="1">IF(Listedettes[[#This Row],[Retard]]="","payé",IF(L87&lt;=0,"non échue",IF(L87&lt;=30,"échue[1,30]",IF(L87&lt;=60,"échue[31,60]",IF(L87&lt;=90,"échue[61,90]","échue&gt;90")))))</f>
        <v>échue&gt;90</v>
      </c>
      <c r="N87" s="40"/>
    </row>
    <row r="88" spans="1:14">
      <c r="A88" s="34"/>
    </row>
    <row r="89" spans="1:14">
      <c r="A89" s="34"/>
    </row>
  </sheetData>
  <mergeCells count="3">
    <mergeCell ref="C11:E11"/>
    <mergeCell ref="C4:E4"/>
    <mergeCell ref="C5:F5"/>
  </mergeCells>
  <phoneticPr fontId="14" type="noConversion"/>
  <conditionalFormatting sqref="L14:L87">
    <cfRule type="cellIs" dxfId="26" priority="1" operator="equal">
      <formula>""</formula>
    </cfRule>
    <cfRule type="cellIs" dxfId="25" priority="2" operator="equal">
      <formula>0</formula>
    </cfRule>
    <cfRule type="cellIs" dxfId="24" priority="3" operator="lessThan">
      <formula>0</formula>
    </cfRule>
    <cfRule type="cellIs" dxfId="23" priority="4" operator="greaterThan">
      <formula>0</formula>
    </cfRule>
    <cfRule type="cellIs" dxfId="22" priority="5" operator="equal">
      <formula>0</formula>
    </cfRule>
  </conditionalFormatting>
  <dataValidations count="1">
    <dataValidation type="list" allowBlank="1" showInputMessage="1" showErrorMessage="1" sqref="H7" xr:uid="{A565F894-FB0C-4DBF-93C6-F2F04065BAFE}">
      <formula1>INDIRECT("Listefournisseur[NOM]")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95C99-8734-4B21-AAE3-CEE103BF0634}">
  <dimension ref="A4:I60"/>
  <sheetViews>
    <sheetView showGridLines="0" tabSelected="1" workbookViewId="0">
      <selection activeCell="I7" sqref="I7"/>
    </sheetView>
  </sheetViews>
  <sheetFormatPr baseColWidth="10" defaultRowHeight="14.4"/>
  <cols>
    <col min="3" max="3" width="16.44140625" customWidth="1"/>
    <col min="4" max="4" width="25.109375" customWidth="1"/>
    <col min="5" max="5" width="24.109375" customWidth="1"/>
    <col min="6" max="6" width="22.109375" customWidth="1"/>
    <col min="7" max="8" width="20.5546875" customWidth="1"/>
  </cols>
  <sheetData>
    <row r="4" spans="3:9" ht="19.2">
      <c r="C4" s="76" t="s">
        <v>81</v>
      </c>
      <c r="D4" s="76"/>
    </row>
    <row r="5" spans="3:9">
      <c r="C5" s="84" t="s">
        <v>221</v>
      </c>
      <c r="D5" s="84"/>
      <c r="E5" s="84"/>
      <c r="F5" s="26"/>
    </row>
    <row r="6" spans="3:9">
      <c r="C6" s="19"/>
      <c r="D6" s="19"/>
      <c r="E6" s="19"/>
      <c r="F6" s="19"/>
    </row>
    <row r="7" spans="3:9" ht="15.6">
      <c r="D7" s="85"/>
      <c r="G7" s="24"/>
      <c r="H7" s="24"/>
      <c r="I7" s="85"/>
    </row>
    <row r="8" spans="3:9" ht="18.600000000000001" customHeight="1">
      <c r="C8" s="24" t="s">
        <v>66</v>
      </c>
      <c r="D8" s="86"/>
      <c r="E8" s="24" t="s">
        <v>83</v>
      </c>
      <c r="F8" s="90"/>
      <c r="H8" s="25"/>
    </row>
    <row r="9" spans="3:9" ht="15.6">
      <c r="C9" s="24" t="s">
        <v>68</v>
      </c>
      <c r="D9" s="87" t="str">
        <f>IFERROR(VLOOKUP(D8,Listedettes[],3,0),"")</f>
        <v/>
      </c>
      <c r="E9" s="24" t="s">
        <v>67</v>
      </c>
      <c r="F9" s="90"/>
      <c r="H9" s="24"/>
    </row>
    <row r="10" spans="3:9" ht="15.6">
      <c r="C10" s="24" t="s">
        <v>73</v>
      </c>
      <c r="D10" s="87" t="str">
        <f>IFERROR(VLOOKUP(D8,Listedettes[],8,0),"")</f>
        <v/>
      </c>
      <c r="E10" s="24" t="s">
        <v>72</v>
      </c>
      <c r="F10" s="91"/>
    </row>
    <row r="11" spans="3:9" ht="15.6">
      <c r="C11" s="24" t="s">
        <v>82</v>
      </c>
      <c r="D11" s="88" t="str">
        <f>IFERROR(VLOOKUP(D8,Listedettes[],10,0),"")</f>
        <v/>
      </c>
      <c r="E11" s="24" t="s">
        <v>84</v>
      </c>
      <c r="F11" s="90"/>
    </row>
    <row r="12" spans="3:9">
      <c r="D12" s="89"/>
      <c r="F12" s="92"/>
    </row>
    <row r="13" spans="3:9" ht="19.2">
      <c r="C13" s="75" t="s">
        <v>220</v>
      </c>
      <c r="D13" s="75"/>
    </row>
    <row r="14" spans="3:9" s="48" customFormat="1">
      <c r="C14" s="60" t="s">
        <v>66</v>
      </c>
      <c r="D14" s="60" t="s">
        <v>68</v>
      </c>
      <c r="E14" s="60" t="s">
        <v>193</v>
      </c>
      <c r="F14" s="60" t="s">
        <v>67</v>
      </c>
      <c r="G14" s="61" t="s">
        <v>72</v>
      </c>
      <c r="H14" s="60" t="s">
        <v>85</v>
      </c>
      <c r="I14" s="47"/>
    </row>
    <row r="15" spans="3:9" s="48" customFormat="1">
      <c r="C15" s="60" t="s">
        <v>103</v>
      </c>
      <c r="D15" s="60" t="s">
        <v>27</v>
      </c>
      <c r="E15" s="62">
        <v>45698</v>
      </c>
      <c r="F15" s="60"/>
      <c r="G15" s="61">
        <v>4000</v>
      </c>
      <c r="H15" s="60"/>
      <c r="I15" s="47"/>
    </row>
    <row r="16" spans="3:9" s="48" customFormat="1">
      <c r="C16" s="60" t="s">
        <v>107</v>
      </c>
      <c r="D16" s="60" t="s">
        <v>44</v>
      </c>
      <c r="E16" s="62">
        <v>45690</v>
      </c>
      <c r="F16" s="60"/>
      <c r="G16" s="61">
        <v>140</v>
      </c>
      <c r="H16" s="60" t="s">
        <v>92</v>
      </c>
      <c r="I16" s="47"/>
    </row>
    <row r="17" spans="3:9" s="48" customFormat="1">
      <c r="C17" s="60" t="s">
        <v>128</v>
      </c>
      <c r="D17" s="60" t="s">
        <v>39</v>
      </c>
      <c r="E17" s="62">
        <v>45690</v>
      </c>
      <c r="F17" s="60" t="s">
        <v>218</v>
      </c>
      <c r="G17" s="61">
        <v>1400</v>
      </c>
      <c r="H17" s="60" t="s">
        <v>87</v>
      </c>
      <c r="I17" s="47"/>
    </row>
    <row r="18" spans="3:9" s="48" customFormat="1">
      <c r="C18" s="60" t="s">
        <v>129</v>
      </c>
      <c r="D18" s="60" t="s">
        <v>56</v>
      </c>
      <c r="E18" s="62">
        <v>45689</v>
      </c>
      <c r="F18" s="60"/>
      <c r="G18" s="61">
        <v>750</v>
      </c>
      <c r="H18" s="60" t="s">
        <v>92</v>
      </c>
      <c r="I18" s="47"/>
    </row>
    <row r="19" spans="3:9" s="48" customFormat="1">
      <c r="C19" s="60" t="s">
        <v>120</v>
      </c>
      <c r="D19" s="60" t="s">
        <v>56</v>
      </c>
      <c r="E19" s="62">
        <v>45322</v>
      </c>
      <c r="F19" s="60"/>
      <c r="G19" s="61">
        <v>780</v>
      </c>
      <c r="H19" s="60" t="s">
        <v>213</v>
      </c>
      <c r="I19" s="47"/>
    </row>
    <row r="20" spans="3:9" s="48" customFormat="1">
      <c r="C20" s="60" t="s">
        <v>110</v>
      </c>
      <c r="D20" s="60" t="s">
        <v>51</v>
      </c>
      <c r="E20" s="62">
        <v>45320</v>
      </c>
      <c r="F20" s="60"/>
      <c r="G20" s="61">
        <v>120</v>
      </c>
      <c r="H20" s="60" t="s">
        <v>92</v>
      </c>
      <c r="I20" s="47"/>
    </row>
    <row r="21" spans="3:9" s="48" customFormat="1">
      <c r="C21" s="60" t="s">
        <v>111</v>
      </c>
      <c r="D21" s="60" t="s">
        <v>14</v>
      </c>
      <c r="E21" s="62">
        <v>45317</v>
      </c>
      <c r="F21" s="60" t="s">
        <v>217</v>
      </c>
      <c r="G21" s="61">
        <v>300</v>
      </c>
      <c r="H21" s="60" t="s">
        <v>92</v>
      </c>
      <c r="I21" s="47"/>
    </row>
    <row r="22" spans="3:9" s="48" customFormat="1">
      <c r="C22" s="60" t="s">
        <v>122</v>
      </c>
      <c r="D22" s="60" t="s">
        <v>44</v>
      </c>
      <c r="E22" s="62">
        <v>45318</v>
      </c>
      <c r="F22" s="60"/>
      <c r="G22" s="61">
        <v>900</v>
      </c>
      <c r="H22" s="60" t="s">
        <v>213</v>
      </c>
      <c r="I22" s="47"/>
    </row>
    <row r="23" spans="3:9" s="48" customFormat="1">
      <c r="C23" s="60" t="s">
        <v>121</v>
      </c>
      <c r="D23" s="60" t="s">
        <v>35</v>
      </c>
      <c r="E23" s="62">
        <v>45317</v>
      </c>
      <c r="F23" s="60"/>
      <c r="G23" s="61">
        <v>600</v>
      </c>
      <c r="H23" s="60" t="s">
        <v>92</v>
      </c>
      <c r="I23" s="47"/>
    </row>
    <row r="24" spans="3:9" s="48" customFormat="1">
      <c r="C24" s="60" t="s">
        <v>117</v>
      </c>
      <c r="D24" s="60" t="s">
        <v>47</v>
      </c>
      <c r="E24" s="62" t="s">
        <v>215</v>
      </c>
      <c r="F24" s="60" t="s">
        <v>216</v>
      </c>
      <c r="G24" s="61">
        <v>200</v>
      </c>
      <c r="H24" s="60" t="s">
        <v>92</v>
      </c>
      <c r="I24" s="47"/>
    </row>
    <row r="25" spans="3:9" s="48" customFormat="1">
      <c r="C25" s="60" t="s">
        <v>209</v>
      </c>
      <c r="D25" s="60" t="s">
        <v>64</v>
      </c>
      <c r="E25" s="62">
        <v>45698</v>
      </c>
      <c r="F25" s="60" t="s">
        <v>214</v>
      </c>
      <c r="G25" s="61">
        <v>20000</v>
      </c>
      <c r="H25" s="60" t="s">
        <v>87</v>
      </c>
      <c r="I25" s="47"/>
    </row>
    <row r="26" spans="3:9" s="48" customFormat="1">
      <c r="C26" s="60" t="s">
        <v>206</v>
      </c>
      <c r="D26" s="60" t="s">
        <v>51</v>
      </c>
      <c r="E26" s="62">
        <v>45693</v>
      </c>
      <c r="F26" s="60" t="s">
        <v>212</v>
      </c>
      <c r="G26" s="61">
        <v>10000</v>
      </c>
      <c r="H26" s="60" t="s">
        <v>213</v>
      </c>
      <c r="I26" s="47"/>
    </row>
    <row r="27" spans="3:9" s="48" customFormat="1">
      <c r="C27" s="60" t="s">
        <v>205</v>
      </c>
      <c r="D27" s="60" t="s">
        <v>56</v>
      </c>
      <c r="E27" s="62">
        <v>45689</v>
      </c>
      <c r="F27" s="60" t="s">
        <v>211</v>
      </c>
      <c r="G27" s="61">
        <v>10000</v>
      </c>
      <c r="H27" s="60" t="s">
        <v>87</v>
      </c>
      <c r="I27" s="47"/>
    </row>
    <row r="28" spans="3:9" s="48" customFormat="1">
      <c r="C28" s="60" t="s">
        <v>204</v>
      </c>
      <c r="D28" s="60" t="s">
        <v>60</v>
      </c>
      <c r="E28" s="62">
        <v>45688</v>
      </c>
      <c r="F28" s="60" t="s">
        <v>210</v>
      </c>
      <c r="G28" s="61">
        <v>5000</v>
      </c>
      <c r="H28" s="60" t="s">
        <v>92</v>
      </c>
      <c r="I28" s="47"/>
    </row>
    <row r="29" spans="3:9" s="48" customFormat="1">
      <c r="C29" s="60" t="s">
        <v>151</v>
      </c>
      <c r="D29" s="60" t="s">
        <v>53</v>
      </c>
      <c r="E29" s="62">
        <v>45682</v>
      </c>
      <c r="F29" s="60" t="s">
        <v>192</v>
      </c>
      <c r="G29" s="61">
        <v>2500</v>
      </c>
      <c r="H29" s="60" t="s">
        <v>87</v>
      </c>
      <c r="I29" s="47"/>
    </row>
    <row r="30" spans="3:9" s="48" customFormat="1">
      <c r="C30" s="60" t="s">
        <v>150</v>
      </c>
      <c r="D30" s="60" t="s">
        <v>53</v>
      </c>
      <c r="E30" s="62">
        <v>45726</v>
      </c>
      <c r="F30" s="60" t="s">
        <v>191</v>
      </c>
      <c r="G30" s="61">
        <v>8000</v>
      </c>
      <c r="H30" s="60" t="s">
        <v>92</v>
      </c>
      <c r="I30" s="47"/>
    </row>
    <row r="31" spans="3:9" s="48" customFormat="1">
      <c r="C31" s="60" t="s">
        <v>149</v>
      </c>
      <c r="D31" s="60" t="s">
        <v>51</v>
      </c>
      <c r="E31" s="62">
        <v>45682</v>
      </c>
      <c r="F31" s="60" t="s">
        <v>190</v>
      </c>
      <c r="G31" s="61">
        <v>8000</v>
      </c>
      <c r="H31" s="60" t="s">
        <v>87</v>
      </c>
      <c r="I31" s="47"/>
    </row>
    <row r="32" spans="3:9" s="48" customFormat="1">
      <c r="C32" s="60" t="s">
        <v>188</v>
      </c>
      <c r="D32" s="60" t="s">
        <v>60</v>
      </c>
      <c r="E32" s="62">
        <v>45757</v>
      </c>
      <c r="F32" s="60" t="s">
        <v>189</v>
      </c>
      <c r="G32" s="61">
        <v>4000</v>
      </c>
      <c r="H32" s="60" t="s">
        <v>92</v>
      </c>
      <c r="I32" s="47"/>
    </row>
    <row r="33" spans="1:9" ht="16.2">
      <c r="A33" s="34"/>
      <c r="B33" s="34"/>
      <c r="C33" s="63" t="s">
        <v>124</v>
      </c>
      <c r="D33" s="64" t="s">
        <v>64</v>
      </c>
      <c r="E33" s="65">
        <v>45793</v>
      </c>
      <c r="F33" s="64" t="s">
        <v>152</v>
      </c>
      <c r="G33" s="66">
        <v>200</v>
      </c>
      <c r="H33" s="67" t="s">
        <v>153</v>
      </c>
      <c r="I33" s="23"/>
    </row>
    <row r="34" spans="1:9" ht="16.2">
      <c r="A34" s="34"/>
      <c r="C34" s="68" t="s">
        <v>132</v>
      </c>
      <c r="D34" s="69" t="s">
        <v>53</v>
      </c>
      <c r="E34" s="70">
        <v>45821</v>
      </c>
      <c r="F34" s="69" t="s">
        <v>154</v>
      </c>
      <c r="G34" s="71">
        <v>140</v>
      </c>
      <c r="H34" s="72" t="s">
        <v>153</v>
      </c>
      <c r="I34" s="23"/>
    </row>
    <row r="35" spans="1:9" ht="16.2">
      <c r="A35" s="34"/>
      <c r="C35" s="68" t="s">
        <v>131</v>
      </c>
      <c r="D35" s="69" t="s">
        <v>155</v>
      </c>
      <c r="E35" s="70">
        <v>45787</v>
      </c>
      <c r="F35" s="69" t="s">
        <v>156</v>
      </c>
      <c r="G35" s="71">
        <v>200</v>
      </c>
      <c r="H35" s="72" t="s">
        <v>157</v>
      </c>
      <c r="I35" s="23"/>
    </row>
    <row r="36" spans="1:9" ht="16.2">
      <c r="A36" s="34"/>
      <c r="C36" s="68" t="s">
        <v>133</v>
      </c>
      <c r="D36" s="69" t="s">
        <v>158</v>
      </c>
      <c r="E36" s="70">
        <v>45787</v>
      </c>
      <c r="F36" s="69" t="s">
        <v>159</v>
      </c>
      <c r="G36" s="71">
        <v>150</v>
      </c>
      <c r="H36" s="72" t="s">
        <v>153</v>
      </c>
      <c r="I36" s="23"/>
    </row>
    <row r="37" spans="1:9" ht="16.2">
      <c r="A37" s="34"/>
      <c r="C37" s="68" t="s">
        <v>107</v>
      </c>
      <c r="D37" s="69" t="s">
        <v>160</v>
      </c>
      <c r="E37" s="70">
        <v>45787</v>
      </c>
      <c r="F37" s="69" t="s">
        <v>161</v>
      </c>
      <c r="G37" s="71">
        <v>60</v>
      </c>
      <c r="H37" s="72" t="s">
        <v>162</v>
      </c>
      <c r="I37" s="23"/>
    </row>
    <row r="38" spans="1:9" s="23" customFormat="1" ht="16.2">
      <c r="A38" s="34"/>
      <c r="C38" s="68" t="s">
        <v>135</v>
      </c>
      <c r="D38" s="69" t="s">
        <v>163</v>
      </c>
      <c r="E38" s="70">
        <v>45787</v>
      </c>
      <c r="F38" s="69" t="s">
        <v>164</v>
      </c>
      <c r="G38" s="71">
        <v>500</v>
      </c>
      <c r="H38" s="72" t="s">
        <v>153</v>
      </c>
    </row>
    <row r="39" spans="1:9" s="23" customFormat="1" ht="16.2">
      <c r="A39" s="34"/>
      <c r="C39" s="68" t="s">
        <v>136</v>
      </c>
      <c r="D39" s="69" t="s">
        <v>160</v>
      </c>
      <c r="E39" s="70">
        <v>45818</v>
      </c>
      <c r="F39" s="69" t="s">
        <v>165</v>
      </c>
      <c r="G39" s="71">
        <v>800</v>
      </c>
      <c r="H39" s="72" t="s">
        <v>162</v>
      </c>
    </row>
    <row r="40" spans="1:9" s="23" customFormat="1" ht="15" customHeight="1">
      <c r="A40" s="34"/>
      <c r="C40" s="68" t="s">
        <v>112</v>
      </c>
      <c r="D40" s="69" t="s">
        <v>166</v>
      </c>
      <c r="E40" s="70">
        <v>45814</v>
      </c>
      <c r="F40" s="69" t="s">
        <v>167</v>
      </c>
      <c r="G40" s="71">
        <v>400</v>
      </c>
      <c r="H40" s="72" t="s">
        <v>153</v>
      </c>
    </row>
    <row r="41" spans="1:9" s="23" customFormat="1" ht="16.2">
      <c r="A41" s="34"/>
      <c r="C41" s="68" t="s">
        <v>134</v>
      </c>
      <c r="D41" s="69" t="s">
        <v>168</v>
      </c>
      <c r="E41" s="70">
        <v>45787</v>
      </c>
      <c r="F41" s="69" t="s">
        <v>169</v>
      </c>
      <c r="G41" s="71">
        <v>100</v>
      </c>
      <c r="H41" s="72" t="s">
        <v>157</v>
      </c>
    </row>
    <row r="42" spans="1:9" s="23" customFormat="1" ht="16.2">
      <c r="A42" s="34"/>
      <c r="C42" s="68" t="s">
        <v>125</v>
      </c>
      <c r="D42" s="69" t="s">
        <v>170</v>
      </c>
      <c r="E42" s="70">
        <v>45781</v>
      </c>
      <c r="F42" s="69" t="s">
        <v>171</v>
      </c>
      <c r="G42" s="71">
        <v>700</v>
      </c>
      <c r="H42" s="72" t="s">
        <v>162</v>
      </c>
    </row>
    <row r="43" spans="1:9" ht="16.2">
      <c r="A43" s="34"/>
      <c r="C43" s="68" t="s">
        <v>137</v>
      </c>
      <c r="D43" s="69" t="s">
        <v>160</v>
      </c>
      <c r="E43" s="70">
        <v>45659</v>
      </c>
      <c r="F43" s="69" t="s">
        <v>172</v>
      </c>
      <c r="G43" s="71">
        <v>800</v>
      </c>
      <c r="H43" s="72" t="s">
        <v>153</v>
      </c>
    </row>
    <row r="44" spans="1:9" ht="16.2">
      <c r="A44" s="34"/>
      <c r="C44" s="68" t="s">
        <v>138</v>
      </c>
      <c r="D44" s="69" t="s">
        <v>173</v>
      </c>
      <c r="E44" s="70">
        <v>45690</v>
      </c>
      <c r="F44" s="69" t="s">
        <v>174</v>
      </c>
      <c r="G44" s="71">
        <v>2000</v>
      </c>
      <c r="H44" s="72" t="s">
        <v>157</v>
      </c>
    </row>
    <row r="45" spans="1:9" ht="16.2">
      <c r="A45" s="34"/>
      <c r="C45" s="68" t="s">
        <v>126</v>
      </c>
      <c r="D45" s="69" t="s">
        <v>158</v>
      </c>
      <c r="E45" s="70">
        <v>45787</v>
      </c>
      <c r="F45" s="69" t="s">
        <v>175</v>
      </c>
      <c r="G45" s="71">
        <v>100</v>
      </c>
      <c r="H45" s="72" t="s">
        <v>153</v>
      </c>
    </row>
    <row r="46" spans="1:9" ht="16.2">
      <c r="A46" s="34"/>
      <c r="C46" s="68" t="s">
        <v>139</v>
      </c>
      <c r="D46" s="69" t="s">
        <v>155</v>
      </c>
      <c r="E46" s="70">
        <v>45781</v>
      </c>
      <c r="F46" s="69" t="s">
        <v>176</v>
      </c>
      <c r="G46" s="71">
        <v>450</v>
      </c>
      <c r="H46" s="72" t="s">
        <v>157</v>
      </c>
    </row>
    <row r="47" spans="1:9" ht="16.2">
      <c r="A47" s="34"/>
      <c r="C47" s="68" t="s">
        <v>127</v>
      </c>
      <c r="D47" s="69" t="s">
        <v>160</v>
      </c>
      <c r="E47" s="70">
        <v>45751</v>
      </c>
      <c r="F47" s="69" t="s">
        <v>177</v>
      </c>
      <c r="G47" s="71">
        <v>150</v>
      </c>
      <c r="H47" s="72" t="s">
        <v>153</v>
      </c>
    </row>
    <row r="48" spans="1:9" ht="16.2">
      <c r="A48" s="34"/>
      <c r="C48" s="68" t="s">
        <v>140</v>
      </c>
      <c r="D48" s="69" t="s">
        <v>178</v>
      </c>
      <c r="E48" s="70">
        <v>45649</v>
      </c>
      <c r="F48" s="69" t="s">
        <v>179</v>
      </c>
      <c r="G48" s="71">
        <v>400</v>
      </c>
      <c r="H48" s="72" t="s">
        <v>153</v>
      </c>
    </row>
    <row r="49" spans="1:8" ht="16.2">
      <c r="A49" s="34"/>
      <c r="C49" s="68" t="s">
        <v>141</v>
      </c>
      <c r="D49" s="69" t="s">
        <v>173</v>
      </c>
      <c r="E49" s="70">
        <v>45719</v>
      </c>
      <c r="F49" s="69" t="s">
        <v>180</v>
      </c>
      <c r="G49" s="71">
        <v>600</v>
      </c>
      <c r="H49" s="72" t="s">
        <v>153</v>
      </c>
    </row>
    <row r="50" spans="1:8" ht="16.2">
      <c r="A50" s="34"/>
      <c r="C50" s="68" t="s">
        <v>143</v>
      </c>
      <c r="D50" s="69" t="s">
        <v>181</v>
      </c>
      <c r="E50" s="70">
        <v>45651</v>
      </c>
      <c r="F50" s="69" t="s">
        <v>182</v>
      </c>
      <c r="G50" s="71">
        <v>200</v>
      </c>
      <c r="H50" s="72" t="s">
        <v>162</v>
      </c>
    </row>
    <row r="51" spans="1:8" ht="16.2">
      <c r="A51" s="34"/>
      <c r="C51" s="68" t="s">
        <v>142</v>
      </c>
      <c r="D51" s="69" t="s">
        <v>160</v>
      </c>
      <c r="E51" s="70">
        <v>45656</v>
      </c>
      <c r="F51" s="69" t="s">
        <v>183</v>
      </c>
      <c r="G51" s="71">
        <v>300</v>
      </c>
      <c r="H51" s="72" t="s">
        <v>153</v>
      </c>
    </row>
    <row r="52" spans="1:8" ht="16.2">
      <c r="A52" s="34"/>
      <c r="C52" s="68" t="s">
        <v>144</v>
      </c>
      <c r="D52" s="69" t="s">
        <v>173</v>
      </c>
      <c r="E52" s="70">
        <v>45677</v>
      </c>
      <c r="F52" s="69" t="s">
        <v>184</v>
      </c>
      <c r="G52" s="71">
        <v>1000</v>
      </c>
      <c r="H52" s="72" t="s">
        <v>153</v>
      </c>
    </row>
    <row r="53" spans="1:8" ht="16.2">
      <c r="A53" s="34"/>
      <c r="C53" s="68" t="s">
        <v>145</v>
      </c>
      <c r="D53" s="69" t="s">
        <v>173</v>
      </c>
      <c r="E53" s="70">
        <v>45689</v>
      </c>
      <c r="F53" s="69" t="s">
        <v>185</v>
      </c>
      <c r="G53" s="71">
        <v>600</v>
      </c>
      <c r="H53" s="72" t="s">
        <v>162</v>
      </c>
    </row>
    <row r="54" spans="1:8" ht="16.2">
      <c r="A54" s="34"/>
      <c r="C54" s="68" t="s">
        <v>118</v>
      </c>
      <c r="D54" s="69" t="s">
        <v>155</v>
      </c>
      <c r="E54" s="70">
        <v>45750</v>
      </c>
      <c r="F54" s="69" t="s">
        <v>96</v>
      </c>
      <c r="G54" s="71">
        <v>1000</v>
      </c>
      <c r="H54" s="72" t="s">
        <v>153</v>
      </c>
    </row>
    <row r="55" spans="1:8" ht="16.2">
      <c r="A55" s="34"/>
      <c r="C55" s="68" t="s">
        <v>146</v>
      </c>
      <c r="D55" s="69" t="s">
        <v>181</v>
      </c>
      <c r="E55" s="70">
        <v>45719</v>
      </c>
      <c r="F55" s="69" t="s">
        <v>95</v>
      </c>
      <c r="G55" s="71">
        <v>1300</v>
      </c>
      <c r="H55" s="72" t="s">
        <v>153</v>
      </c>
    </row>
    <row r="56" spans="1:8" ht="16.2">
      <c r="A56" s="34"/>
      <c r="C56" s="68" t="s">
        <v>89</v>
      </c>
      <c r="D56" s="69" t="s">
        <v>173</v>
      </c>
      <c r="E56" s="70">
        <v>45787</v>
      </c>
      <c r="F56" s="69" t="s">
        <v>93</v>
      </c>
      <c r="G56" s="71">
        <v>400</v>
      </c>
      <c r="H56" s="72" t="s">
        <v>153</v>
      </c>
    </row>
    <row r="57" spans="1:8" ht="16.2">
      <c r="A57" s="34"/>
      <c r="C57" s="68" t="s">
        <v>90</v>
      </c>
      <c r="D57" s="69" t="s">
        <v>186</v>
      </c>
      <c r="E57" s="70">
        <v>45781</v>
      </c>
      <c r="F57" s="69" t="s">
        <v>91</v>
      </c>
      <c r="G57" s="71">
        <v>2000</v>
      </c>
      <c r="H57" s="72" t="s">
        <v>162</v>
      </c>
    </row>
    <row r="58" spans="1:8" ht="16.2">
      <c r="A58" s="34"/>
      <c r="C58" s="68" t="s">
        <v>88</v>
      </c>
      <c r="D58" s="69" t="s">
        <v>163</v>
      </c>
      <c r="E58" s="70">
        <v>45787</v>
      </c>
      <c r="F58" s="69" t="s">
        <v>86</v>
      </c>
      <c r="G58" s="71">
        <v>1000</v>
      </c>
      <c r="H58" s="72" t="s">
        <v>153</v>
      </c>
    </row>
    <row r="59" spans="1:8" ht="16.2">
      <c r="A59" s="34"/>
      <c r="C59" s="68" t="s">
        <v>80</v>
      </c>
      <c r="D59" s="69" t="s">
        <v>168</v>
      </c>
      <c r="E59" s="70">
        <v>45787</v>
      </c>
      <c r="F59" s="69" t="s">
        <v>187</v>
      </c>
      <c r="G59" s="71">
        <v>1500</v>
      </c>
      <c r="H59" s="72" t="s">
        <v>153</v>
      </c>
    </row>
    <row r="60" spans="1:8" ht="16.2">
      <c r="A60" s="34"/>
      <c r="C60" s="68" t="s">
        <v>94</v>
      </c>
      <c r="D60" s="69" t="s">
        <v>186</v>
      </c>
      <c r="E60" s="70">
        <v>45787</v>
      </c>
      <c r="F60" s="69" t="s">
        <v>86</v>
      </c>
      <c r="G60" s="71">
        <v>200</v>
      </c>
      <c r="H60" s="72" t="s">
        <v>162</v>
      </c>
    </row>
  </sheetData>
  <mergeCells count="3">
    <mergeCell ref="C4:D4"/>
    <mergeCell ref="C13:D13"/>
    <mergeCell ref="C5:E5"/>
  </mergeCells>
  <dataValidations count="1">
    <dataValidation type="list" allowBlank="1" showInputMessage="1" showErrorMessage="1" sqref="F11" xr:uid="{D13FE245-7ECA-4B18-AF55-626C5C62F348}">
      <formula1>"chéque,espéce,virement"</formula1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Paramètres</vt:lpstr>
      <vt:lpstr>Dette</vt:lpstr>
      <vt:lpstr>Réglement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anass ez-zouazi</dc:creator>
  <cp:lastModifiedBy>anass ez-zouazi</cp:lastModifiedBy>
  <dcterms:created xsi:type="dcterms:W3CDTF">2025-01-20T19:40:06Z</dcterms:created>
  <dcterms:modified xsi:type="dcterms:W3CDTF">2025-02-23T15:21:20Z</dcterms:modified>
</cp:coreProperties>
</file>